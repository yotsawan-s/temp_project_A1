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_Panel" sheetId="2" state="visible" r:id="rId2"/>
    <sheet name="Recon_Summary" sheetId="3" state="visible" r:id="rId3"/>
    <sheet name="Recon_Detail" sheetId="4" state="visible" r:id="rId4"/>
    <sheet name="Sample_Data" sheetId="5" state="visible" r:id="rId5"/>
    <sheet name="Map_Config" sheetId="6" state="visible" r:id="rId6"/>
    <sheet name="Source_Config" sheetId="7" state="visible" r:id="rId7"/>
    <sheet name="Open_Questions" sheetId="8" state="visible" r:id="rId8"/>
  </sheets>
  <definedNames>
    <definedName name="ChkDate">Control_Panel!$C$5</definedName>
    <definedName name="Tol">Control_Panel!$C$8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10"/>
    </font>
    <font>
      <name val="Arial"/>
      <b val="1"/>
      <color rgb="001F3864"/>
      <sz val="12"/>
    </font>
    <font>
      <name val="Arial"/>
      <color rgb="00000000"/>
      <sz val="10"/>
    </font>
    <font>
      <name val="Arial"/>
      <color rgb="00808080"/>
      <sz val="9"/>
    </font>
    <font>
      <name val="Arial"/>
      <b val="1"/>
      <color rgb="00000000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name val="Arial"/>
      <b val="1"/>
      <color rgb="009C5700"/>
      <sz val="10"/>
    </font>
    <font>
      <name val="Arial"/>
      <b val="1"/>
      <color rgb="009C0006"/>
      <sz val="12"/>
    </font>
    <font>
      <name val="Arial"/>
      <b val="1"/>
      <color rgb="00FFFFFF"/>
      <sz val="10"/>
    </font>
    <font>
      <name val="Arial"/>
      <color rgb="00000000"/>
      <sz val="9"/>
    </font>
    <font>
      <name val="Arial"/>
      <color rgb="009C5700"/>
      <sz val="10"/>
    </font>
    <font>
      <name val="Arial"/>
      <color rgb="009C0006"/>
      <sz val="10"/>
    </font>
    <font>
      <name val="Arial"/>
      <color rgb="00808080"/>
      <sz val="10"/>
    </font>
    <font>
      <name val="Arial"/>
      <color rgb="009C5700"/>
      <sz val="9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538135"/>
      </patternFill>
    </fill>
    <fill>
      <patternFill patternType="solid">
        <fgColor rgb="00A9D08E"/>
      </patternFill>
    </fill>
    <fill>
      <patternFill patternType="solid">
        <fgColor rgb="002E75B6"/>
      </patternFill>
    </fill>
    <fill>
      <patternFill patternType="solid">
        <fgColor rgb="009DC3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13" fillId="9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A1" s="1" t="inlineStr">
        <is>
          <t>PART RECONCILE  —  BOT Reconciliation Tool  (Prototype v0.1)</t>
        </is>
      </c>
    </row>
    <row r="2" ht="30" customHeight="1">
      <c r="A2" s="2" t="inlineStr">
        <is>
          <t>วัตถุประสงค์: ตรวจสอบว่าข้อมูล Transaction ใน A1_System (ไฟล์ 1_A / 1_B) ตรงกับ Product Database (D / O / C) ครบถ้วนถูกต้อง ก่อนส่งต่อหน่วยงานอื่น  |  ตรวจตาม Data Transaction Date ที่ผู้ใช้ระบุ</t>
        </is>
      </c>
    </row>
    <row r="4">
      <c r="B4" s="3" t="inlineStr">
        <is>
          <t>1)  แนวคิดการ Reconcile (2 มุมมอง)</t>
        </is>
      </c>
    </row>
    <row r="5">
      <c r="B5" s="4" t="inlineStr">
        <is>
          <t>ทุก Set จะจับคู่ระหว่าง  Product Database  ⇄  A1_System  โดยใช้ Key Mapping เป็นตัวเชื่อม แล้วตรวจ 2 ทิศทาง:</t>
        </is>
      </c>
    </row>
    <row r="6">
      <c r="B6" s="4" t="inlineStr">
        <is>
          <t xml:space="preserve">    • มุมที่ 1  A1_System → Database : A1_System บันทึกเกินหรือไม่ (มีใน A1 แต่ไม่มีใน Database = EXTRA)</t>
        </is>
      </c>
    </row>
    <row r="7">
      <c r="B7" s="4" t="inlineStr">
        <is>
          <t xml:space="preserve">    • มุมที่ 2  Database → A1_System : A1_System บันทึกขาดหรือไม่ (มีใน Database แต่ไม่มีใน A1 = MISSING)</t>
        </is>
      </c>
    </row>
    <row r="8">
      <c r="B8" s="4" t="inlineStr">
        <is>
          <t xml:space="preserve">    • เมื่อ Key ตรงกันทั้งคู่ จะตรวจค่า (จำนวนเงิน/Amount) ต่อ ว่าตรงกันไหม (ไม่ตรง = AMOUNT MISMATCH)</t>
        </is>
      </c>
    </row>
    <row r="9">
      <c r="B9" s="4" t="inlineStr">
        <is>
          <t>ผลลัพธ์ที่เป็น Error จะถูกสรุปเป็น "ERROR Message" ผูกกับ Key เพื่อนำกลับไปแก้ไขที่ระบบ A1_System</t>
        </is>
      </c>
    </row>
    <row r="10">
      <c r="B10" s="5" t="inlineStr">
        <is>
          <t>(สอดคล้องกับไฟล์ 1_Bxxx ใน mockup ที่มีคอลัมน์ = [Key , ERROR Message] ซึ่งคือไฟล์ผลลัพธ์ของการ Reconcile)</t>
        </is>
      </c>
    </row>
    <row r="12">
      <c r="B12" s="3" t="inlineStr">
        <is>
          <t>2)  โครงสร้างไฟล์ (จากชีท 0_Structure / 1_Flow_Map / 3_DataSource)</t>
        </is>
      </c>
    </row>
    <row r="13">
      <c r="B13" s="4" t="inlineStr">
        <is>
          <t xml:space="preserve">    • A1_System  :  1_A001–1_A009 (9 ไฟล์)  +  1_B001–1_B009 (9 ไฟล์ผลลัพธ์/ERROR)</t>
        </is>
      </c>
    </row>
    <row r="14">
      <c r="B14" s="4" t="inlineStr">
        <is>
          <t xml:space="preserve">    • Database   :  D = 2_D001–2_D005 , O = 3_O001–3_O003 , C = 4_C001–4_C003</t>
        </is>
      </c>
    </row>
    <row r="15">
      <c r="B15" s="4" t="inlineStr">
        <is>
          <t xml:space="preserve">    • Reconcile รวม 21 Sets : Product D = 12 , Product O = 6 , Product C = 3</t>
        </is>
      </c>
    </row>
    <row r="17">
      <c r="B17" s="3" t="inlineStr">
        <is>
          <t>3)  วิธีใช้งาน (Prototype)</t>
        </is>
      </c>
    </row>
    <row r="18">
      <c r="B18" s="4" t="inlineStr">
        <is>
          <t xml:space="preserve">    1. ไปที่ชีท 'Control_Panel' กรอกช่องสีเหลือง: Data Transaction Date, Department Code, Product ที่จะรัน</t>
        </is>
      </c>
    </row>
    <row r="19">
      <c r="B19" s="4" t="inlineStr">
        <is>
          <t xml:space="preserve">    2. (Prototype) ชีท 'Sample_Data' จำลองข้อมูลของ Set ตัวอย่าง D1-1 (2_D001 ⇄ 1_A009)</t>
        </is>
      </c>
    </row>
    <row r="20">
      <c r="B20" s="4" t="inlineStr">
        <is>
          <t xml:space="preserve">    3. ชีท 'Recon_Detail' แสดงผลการตรวจรายบรรทัด + ERROR Message (คำนวณสดด้วยสูตร)</t>
        </is>
      </c>
    </row>
    <row r="21">
      <c r="B21" s="4" t="inlineStr">
        <is>
          <t xml:space="preserve">    4. ชีท 'Recon_Summary' = Dashboard สรุปทุก Set ว่า OK / มี Error กี่รายการ</t>
        </is>
      </c>
    </row>
    <row r="23">
      <c r="B23" s="3" t="inlineStr">
        <is>
          <t>4)  คำอธิบายสี (Legend)</t>
        </is>
      </c>
    </row>
    <row r="24">
      <c r="B24" s="6" t="inlineStr">
        <is>
          <t>  </t>
        </is>
      </c>
      <c r="C24" s="7" t="inlineStr">
        <is>
          <t>ช่องกรอกข้อมูล (Input)</t>
        </is>
      </c>
    </row>
    <row r="25">
      <c r="B25" s="8" t="inlineStr">
        <is>
          <t>  </t>
        </is>
      </c>
      <c r="C25" s="9" t="inlineStr">
        <is>
          <t>OK / ตรงกัน (Matched)</t>
        </is>
      </c>
    </row>
    <row r="26">
      <c r="B26" s="10" t="inlineStr">
        <is>
          <t>  </t>
        </is>
      </c>
      <c r="C26" s="11" t="inlineStr">
        <is>
          <t>MISSING in A1 — บันทึกขาด</t>
        </is>
      </c>
    </row>
    <row r="27">
      <c r="B27" s="10" t="inlineStr">
        <is>
          <t>  </t>
        </is>
      </c>
      <c r="C27" s="11" t="inlineStr">
        <is>
          <t>EXTRA in A1 — บันทึกเกิน</t>
        </is>
      </c>
    </row>
    <row r="28">
      <c r="B28" s="12" t="inlineStr">
        <is>
          <t>  </t>
        </is>
      </c>
      <c r="C28" s="13" t="inlineStr">
        <is>
          <t>AMOUNT MISMATCH — ค่าไม่ตรง</t>
        </is>
      </c>
    </row>
    <row r="30">
      <c r="B30" s="14" t="inlineStr">
        <is>
          <t>5)  ข้อสมมุติ &amp; คำถามที่รอผู้ใช้ยืนยัน  (ดูชีท Open_Questions)</t>
        </is>
      </c>
    </row>
  </sheetData>
  <mergeCells count="20">
    <mergeCell ref="B4:F4"/>
    <mergeCell ref="B7:F7"/>
    <mergeCell ref="B18:F18"/>
    <mergeCell ref="B21:F21"/>
    <mergeCell ref="A2:F2"/>
    <mergeCell ref="B12:F12"/>
    <mergeCell ref="B23:F23"/>
    <mergeCell ref="B14:F14"/>
    <mergeCell ref="B8:F8"/>
    <mergeCell ref="B17:F17"/>
    <mergeCell ref="B13:F13"/>
    <mergeCell ref="B10:F10"/>
    <mergeCell ref="B19:F19"/>
    <mergeCell ref="B9:F9"/>
    <mergeCell ref="B30:F30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0" customWidth="1" min="4" max="4"/>
  </cols>
  <sheetData>
    <row r="1" ht="26" customHeight="1">
      <c r="A1" s="1" t="inlineStr">
        <is>
          <t>CONTROL PANEL  —  พารามิเตอร์การรัน</t>
        </is>
      </c>
    </row>
    <row r="2" ht="30" customHeight="1">
      <c r="A2" s="2" t="inlineStr">
        <is>
          <t>กรอกช่องสีเหลือง แล้วระบบจะตรวจ Transaction ตามวันที่/หน่วยงานที่ระบุ  (ค่าเหล่านี้ใช้เป็นตัวกรอง Col.Filter ของทุกไฟล์)</t>
        </is>
      </c>
    </row>
    <row r="4">
      <c r="B4" s="15" t="inlineStr">
        <is>
          <t>พารามิเตอร์</t>
        </is>
      </c>
      <c r="C4" s="16" t="inlineStr">
        <is>
          <t>ค่า (กรอก)</t>
        </is>
      </c>
      <c r="D4" s="15" t="inlineStr">
        <is>
          <t>คำอธิบาย</t>
        </is>
      </c>
    </row>
    <row r="5">
      <c r="B5" s="17" t="inlineStr">
        <is>
          <t>Data Transaction Date</t>
        </is>
      </c>
      <c r="C5" s="18" t="inlineStr">
        <is>
          <t>2026-05-30</t>
        </is>
      </c>
      <c r="D5" s="19" t="inlineStr">
        <is>
          <t>วันที่ Transaction ที่ต้องการตรวจ (ตรงกับ Data Set Date / TRADE_DATE / Settlement Date ฯลฯ)</t>
        </is>
      </c>
    </row>
    <row r="6">
      <c r="B6" s="17" t="inlineStr">
        <is>
          <t>Department Code</t>
        </is>
      </c>
      <c r="C6" s="18" t="inlineStr">
        <is>
          <t>0123</t>
        </is>
      </c>
      <c r="D6" s="19" t="inlineStr">
        <is>
          <t>รหัสหน่วยงาน (ตัวกรอง Dept Code / DEPT CODE)</t>
        </is>
      </c>
    </row>
    <row r="7">
      <c r="B7" s="17" t="inlineStr">
        <is>
          <t>Product to run</t>
        </is>
      </c>
      <c r="C7" s="18" t="inlineStr">
        <is>
          <t>ALL</t>
        </is>
      </c>
      <c r="D7" s="19" t="inlineStr">
        <is>
          <t>D / O / C / ALL</t>
        </is>
      </c>
    </row>
    <row r="8">
      <c r="B8" s="17" t="inlineStr">
        <is>
          <t>Amount tolerance</t>
        </is>
      </c>
      <c r="C8" s="18" t="inlineStr">
        <is>
          <t>0</t>
        </is>
      </c>
      <c r="D8" s="19" t="inlineStr">
        <is>
          <t>ผลต่างจำนวนเงินที่ยอมรับได้ (0 = ต้องตรงเป๊ะ)</t>
        </is>
      </c>
    </row>
    <row r="10">
      <c r="B10" s="3" t="inlineStr">
        <is>
          <t>สถานะผลรวม (Overall Status)</t>
        </is>
      </c>
    </row>
    <row r="11">
      <c r="B11" s="17" t="inlineStr">
        <is>
          <t>จำนวน Error ของ Set ตัวอย่าง (D1-1)</t>
        </is>
      </c>
      <c r="C11" s="20">
        <f>COUNTA(Recon_Detail!$H$6:$H$100)-COUNTIF(Recon_Detail!$H$6:$H$100,"")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40" customWidth="1" min="4" max="4"/>
    <col width="13" customWidth="1" min="5" max="5"/>
    <col width="13" customWidth="1" min="6" max="6"/>
    <col width="12" customWidth="1" min="7" max="7"/>
    <col width="15" customWidth="1" min="8" max="8"/>
    <col width="18" customWidth="1" min="9" max="9"/>
  </cols>
  <sheetData>
    <row r="1" ht="26" customHeight="1">
      <c r="A1" s="1" t="inlineStr">
        <is>
          <t>RECON SUMMARY  —  Dashboard สรุปทุก Set</t>
        </is>
      </c>
    </row>
    <row r="2" ht="30" customHeight="1">
      <c r="A2" s="2" t="inlineStr">
        <is>
          <t>หนึ่งแถวต่อหนึ่ง Set  |  สีแดง = พบ Error ต้องแก้  |  Set D1-1 คำนวณสดจากข้อมูลจริง, Set อื่นรอโหลดข้อมูล (Pending)</t>
        </is>
      </c>
    </row>
    <row r="4" ht="28" customHeight="1">
      <c r="A4" s="21" t="inlineStr">
        <is>
          <t>Product</t>
        </is>
      </c>
      <c r="B4" s="21" t="inlineStr">
        <is>
          <t>Category</t>
        </is>
      </c>
      <c r="C4" s="21" t="inlineStr">
        <is>
          <t>Set No.</t>
        </is>
      </c>
      <c r="D4" s="21" t="inlineStr">
        <is>
          <t>Chain (Database ⇄ A1_System)</t>
        </is>
      </c>
      <c r="E4" s="21" t="inlineStr">
        <is>
          <t>Trans.Map</t>
        </is>
      </c>
      <c r="F4" s="21" t="inlineStr">
        <is>
          <t>MISSING in A1</t>
        </is>
      </c>
      <c r="G4" s="21" t="inlineStr">
        <is>
          <t>EXTRA in A1</t>
        </is>
      </c>
      <c r="H4" s="21" t="inlineStr">
        <is>
          <t>AMOUNT MISMATCH</t>
        </is>
      </c>
      <c r="I4" s="21" t="inlineStr">
        <is>
          <t>Overall Status</t>
        </is>
      </c>
    </row>
    <row r="5">
      <c r="A5" s="22" t="inlineStr">
        <is>
          <t>D</t>
        </is>
      </c>
      <c r="B5" s="22" t="inlineStr">
        <is>
          <t>D1</t>
        </is>
      </c>
      <c r="C5" s="22" t="n">
        <v>1</v>
      </c>
      <c r="D5" s="23" t="inlineStr">
        <is>
          <t>2_D001 ⇄ 1_A009 ⇄ 1_B009</t>
        </is>
      </c>
      <c r="E5" s="22" t="inlineStr">
        <is>
          <t>1 : 1 : n</t>
        </is>
      </c>
      <c r="F5" s="20">
        <f>COUNTIF(Recon_Detail!$G$6:$G$10,"MISSING in A1")</f>
        <v/>
      </c>
      <c r="G5" s="20">
        <f>COUNTIF(Recon_Detail!$G$6:$G$10,"EXTRA in A1")</f>
        <v/>
      </c>
      <c r="H5" s="20">
        <f>COUNTIF(Recon_Detail!$G$6:$G$10,"AMOUNT MISMATCH")</f>
        <v/>
      </c>
      <c r="I5" s="24">
        <f>IF(SUM(F5:H5)=0,"OK","ERROR — "&amp;SUM(F5:H5)&amp;" รายการ")</f>
        <v/>
      </c>
    </row>
    <row r="6">
      <c r="A6" s="22" t="inlineStr">
        <is>
          <t>D</t>
        </is>
      </c>
      <c r="B6" s="22" t="inlineStr">
        <is>
          <t>D1</t>
        </is>
      </c>
      <c r="C6" s="22" t="n">
        <v>2</v>
      </c>
      <c r="D6" s="23" t="inlineStr">
        <is>
          <t>2_D001 ⇄ 1_A005 ⇄ 1_B002</t>
        </is>
      </c>
      <c r="E6" s="22" t="inlineStr">
        <is>
          <t>1 : 1 : n</t>
        </is>
      </c>
      <c r="F6" s="20" t="inlineStr">
        <is>
          <t>-</t>
        </is>
      </c>
      <c r="G6" s="20" t="inlineStr">
        <is>
          <t>-</t>
        </is>
      </c>
      <c r="H6" s="20" t="inlineStr">
        <is>
          <t>-</t>
        </is>
      </c>
      <c r="I6" s="25" t="inlineStr">
        <is>
          <t>Pending data</t>
        </is>
      </c>
    </row>
    <row r="7">
      <c r="A7" s="22" t="inlineStr">
        <is>
          <t>D</t>
        </is>
      </c>
      <c r="B7" s="22" t="inlineStr">
        <is>
          <t>D1</t>
        </is>
      </c>
      <c r="C7" s="22" t="n">
        <v>3</v>
      </c>
      <c r="D7" s="23" t="inlineStr">
        <is>
          <t>2_D001 ⇄ 1_A001 ⇄ 1_B003</t>
        </is>
      </c>
      <c r="E7" s="22" t="inlineStr">
        <is>
          <t>1 : 1,2 : n</t>
        </is>
      </c>
      <c r="F7" s="20" t="inlineStr">
        <is>
          <t>-</t>
        </is>
      </c>
      <c r="G7" s="20" t="inlineStr">
        <is>
          <t>-</t>
        </is>
      </c>
      <c r="H7" s="20" t="inlineStr">
        <is>
          <t>-</t>
        </is>
      </c>
      <c r="I7" s="25" t="inlineStr">
        <is>
          <t>Pending data</t>
        </is>
      </c>
    </row>
    <row r="8">
      <c r="A8" s="22" t="inlineStr">
        <is>
          <t>D</t>
        </is>
      </c>
      <c r="B8" s="22" t="inlineStr">
        <is>
          <t>D1</t>
        </is>
      </c>
      <c r="C8" s="22" t="n">
        <v>4</v>
      </c>
      <c r="D8" s="23" t="inlineStr">
        <is>
          <t>2_D001 ⇄ 1_A002 ⇄ 1_B004</t>
        </is>
      </c>
      <c r="E8" s="22" t="inlineStr">
        <is>
          <t>1 : 1 : n</t>
        </is>
      </c>
      <c r="F8" s="20" t="inlineStr">
        <is>
          <t>-</t>
        </is>
      </c>
      <c r="G8" s="20" t="inlineStr">
        <is>
          <t>-</t>
        </is>
      </c>
      <c r="H8" s="20" t="inlineStr">
        <is>
          <t>-</t>
        </is>
      </c>
      <c r="I8" s="25" t="inlineStr">
        <is>
          <t>Pending data</t>
        </is>
      </c>
    </row>
    <row r="9">
      <c r="A9" s="22" t="inlineStr">
        <is>
          <t>D</t>
        </is>
      </c>
      <c r="B9" s="22" t="inlineStr">
        <is>
          <t>D2</t>
        </is>
      </c>
      <c r="C9" s="22" t="n">
        <v>5</v>
      </c>
      <c r="D9" s="23" t="inlineStr">
        <is>
          <t>2_D002 ⇄ 1_A003 ⇄ 2_D001 ⇄ 1_B006</t>
        </is>
      </c>
      <c r="E9" s="22" t="inlineStr">
        <is>
          <t>1 : 1 : 1 : n</t>
        </is>
      </c>
      <c r="F9" s="20" t="inlineStr">
        <is>
          <t>-</t>
        </is>
      </c>
      <c r="G9" s="20" t="inlineStr">
        <is>
          <t>-</t>
        </is>
      </c>
      <c r="H9" s="20" t="inlineStr">
        <is>
          <t>-</t>
        </is>
      </c>
      <c r="I9" s="25" t="inlineStr">
        <is>
          <t>Pending data</t>
        </is>
      </c>
    </row>
    <row r="10">
      <c r="A10" s="22" t="inlineStr">
        <is>
          <t>D</t>
        </is>
      </c>
      <c r="B10" s="22" t="inlineStr">
        <is>
          <t>D3</t>
        </is>
      </c>
      <c r="C10" s="22" t="n">
        <v>6</v>
      </c>
      <c r="D10" s="23" t="inlineStr">
        <is>
          <t>2_D003 ⇄ 1_A001 ⇄ 1_B003</t>
        </is>
      </c>
      <c r="E10" s="22" t="inlineStr">
        <is>
          <t>1 : 1 : n</t>
        </is>
      </c>
      <c r="F10" s="20" t="inlineStr">
        <is>
          <t>-</t>
        </is>
      </c>
      <c r="G10" s="20" t="inlineStr">
        <is>
          <t>-</t>
        </is>
      </c>
      <c r="H10" s="20" t="inlineStr">
        <is>
          <t>-</t>
        </is>
      </c>
      <c r="I10" s="25" t="inlineStr">
        <is>
          <t>Pending data</t>
        </is>
      </c>
    </row>
    <row r="11">
      <c r="A11" s="22" t="inlineStr">
        <is>
          <t>D</t>
        </is>
      </c>
      <c r="B11" s="22" t="inlineStr">
        <is>
          <t>D3</t>
        </is>
      </c>
      <c r="C11" s="22" t="n">
        <v>7</v>
      </c>
      <c r="D11" s="23" t="inlineStr">
        <is>
          <t>2_D003 ⇄ 1_A002 ⇄ 1_B004</t>
        </is>
      </c>
      <c r="E11" s="22" t="inlineStr">
        <is>
          <t>1 : 1 : n</t>
        </is>
      </c>
      <c r="F11" s="20" t="inlineStr">
        <is>
          <t>-</t>
        </is>
      </c>
      <c r="G11" s="20" t="inlineStr">
        <is>
          <t>-</t>
        </is>
      </c>
      <c r="H11" s="20" t="inlineStr">
        <is>
          <t>-</t>
        </is>
      </c>
      <c r="I11" s="25" t="inlineStr">
        <is>
          <t>Pending data</t>
        </is>
      </c>
    </row>
    <row r="12">
      <c r="A12" s="22" t="inlineStr">
        <is>
          <t>D</t>
        </is>
      </c>
      <c r="B12" s="22" t="inlineStr">
        <is>
          <t>D3</t>
        </is>
      </c>
      <c r="C12" s="22" t="n">
        <v>8</v>
      </c>
      <c r="D12" s="23" t="inlineStr">
        <is>
          <t>2_D003 ⇄ 1_A004 ⇄ 1_B001</t>
        </is>
      </c>
      <c r="E12" s="22" t="inlineStr">
        <is>
          <t>1 : 1 : n</t>
        </is>
      </c>
      <c r="F12" s="20" t="inlineStr">
        <is>
          <t>-</t>
        </is>
      </c>
      <c r="G12" s="20" t="inlineStr">
        <is>
          <t>-</t>
        </is>
      </c>
      <c r="H12" s="20" t="inlineStr">
        <is>
          <t>-</t>
        </is>
      </c>
      <c r="I12" s="25" t="inlineStr">
        <is>
          <t>Pending data</t>
        </is>
      </c>
    </row>
    <row r="13">
      <c r="A13" s="22" t="inlineStr">
        <is>
          <t>D</t>
        </is>
      </c>
      <c r="B13" s="22" t="inlineStr">
        <is>
          <t>D3</t>
        </is>
      </c>
      <c r="C13" s="22" t="n">
        <v>9</v>
      </c>
      <c r="D13" s="23" t="inlineStr">
        <is>
          <t>2_D003 ⇄ 1_A005 ⇄ 1_B002</t>
        </is>
      </c>
      <c r="E13" s="22" t="inlineStr">
        <is>
          <t>1 : 1 : n</t>
        </is>
      </c>
      <c r="F13" s="20" t="inlineStr">
        <is>
          <t>-</t>
        </is>
      </c>
      <c r="G13" s="20" t="inlineStr">
        <is>
          <t>-</t>
        </is>
      </c>
      <c r="H13" s="20" t="inlineStr">
        <is>
          <t>-</t>
        </is>
      </c>
      <c r="I13" s="25" t="inlineStr">
        <is>
          <t>Pending data</t>
        </is>
      </c>
    </row>
    <row r="14">
      <c r="A14" s="22" t="inlineStr">
        <is>
          <t>D</t>
        </is>
      </c>
      <c r="B14" s="22" t="inlineStr">
        <is>
          <t>D3</t>
        </is>
      </c>
      <c r="C14" s="22" t="n">
        <v>10</v>
      </c>
      <c r="D14" s="23" t="inlineStr">
        <is>
          <t>2_D003 ⇄ 1_A008 ⇄ 1_B008</t>
        </is>
      </c>
      <c r="E14" s="22" t="inlineStr">
        <is>
          <t>1 : 1 : n</t>
        </is>
      </c>
      <c r="F14" s="20" t="inlineStr">
        <is>
          <t>-</t>
        </is>
      </c>
      <c r="G14" s="20" t="inlineStr">
        <is>
          <t>-</t>
        </is>
      </c>
      <c r="H14" s="20" t="inlineStr">
        <is>
          <t>-</t>
        </is>
      </c>
      <c r="I14" s="25" t="inlineStr">
        <is>
          <t>Pending data</t>
        </is>
      </c>
    </row>
    <row r="15">
      <c r="A15" s="22" t="inlineStr">
        <is>
          <t>D</t>
        </is>
      </c>
      <c r="B15" s="22" t="inlineStr">
        <is>
          <t>D3</t>
        </is>
      </c>
      <c r="C15" s="22" t="n">
        <v>11</v>
      </c>
      <c r="D15" s="23" t="inlineStr">
        <is>
          <t>2_D003 ⇄ 1_A006 ⇄ 1_B005</t>
        </is>
      </c>
      <c r="E15" s="22" t="inlineStr">
        <is>
          <t>1 : n : n</t>
        </is>
      </c>
      <c r="F15" s="20" t="inlineStr">
        <is>
          <t>-</t>
        </is>
      </c>
      <c r="G15" s="20" t="inlineStr">
        <is>
          <t>-</t>
        </is>
      </c>
      <c r="H15" s="20" t="inlineStr">
        <is>
          <t>-</t>
        </is>
      </c>
      <c r="I15" s="25" t="inlineStr">
        <is>
          <t>Pending data</t>
        </is>
      </c>
    </row>
    <row r="16">
      <c r="A16" s="22" t="inlineStr">
        <is>
          <t>D</t>
        </is>
      </c>
      <c r="B16" s="22" t="inlineStr">
        <is>
          <t>D3</t>
        </is>
      </c>
      <c r="C16" s="22" t="n">
        <v>12</v>
      </c>
      <c r="D16" s="23" t="inlineStr">
        <is>
          <t>2_D003 ⇄ 2_D004 ⇄ 2_D005 ⇄ 1_A005</t>
        </is>
      </c>
      <c r="E16" s="22" t="inlineStr">
        <is>
          <t>n : 1 : 1 : ?</t>
        </is>
      </c>
      <c r="F16" s="20" t="inlineStr">
        <is>
          <t>-</t>
        </is>
      </c>
      <c r="G16" s="20" t="inlineStr">
        <is>
          <t>-</t>
        </is>
      </c>
      <c r="H16" s="20" t="inlineStr">
        <is>
          <t>-</t>
        </is>
      </c>
      <c r="I16" s="25" t="inlineStr">
        <is>
          <t>Pending data</t>
        </is>
      </c>
    </row>
    <row r="17">
      <c r="A17" s="22" t="inlineStr">
        <is>
          <t>O</t>
        </is>
      </c>
      <c r="B17" s="22" t="inlineStr">
        <is>
          <t>O1</t>
        </is>
      </c>
      <c r="C17" s="22" t="n">
        <v>1</v>
      </c>
      <c r="D17" s="23" t="inlineStr">
        <is>
          <t>3_O001 ⇄ 1_A007 ⇄ 1_B007</t>
        </is>
      </c>
      <c r="E17" s="22" t="inlineStr">
        <is>
          <t>1 : 1 : n</t>
        </is>
      </c>
      <c r="F17" s="20" t="inlineStr">
        <is>
          <t>-</t>
        </is>
      </c>
      <c r="G17" s="20" t="inlineStr">
        <is>
          <t>-</t>
        </is>
      </c>
      <c r="H17" s="20" t="inlineStr">
        <is>
          <t>-</t>
        </is>
      </c>
      <c r="I17" s="25" t="inlineStr">
        <is>
          <t>Pending data</t>
        </is>
      </c>
    </row>
    <row r="18">
      <c r="A18" s="22" t="inlineStr">
        <is>
          <t>O</t>
        </is>
      </c>
      <c r="B18" s="22" t="inlineStr">
        <is>
          <t>O1</t>
        </is>
      </c>
      <c r="C18" s="22" t="n">
        <v>2</v>
      </c>
      <c r="D18" s="23" t="inlineStr">
        <is>
          <t>3_O001 ⇄ 1_A005 ⇄ 1_B002</t>
        </is>
      </c>
      <c r="E18" s="22" t="inlineStr">
        <is>
          <t>1 : 1 : n</t>
        </is>
      </c>
      <c r="F18" s="20" t="inlineStr">
        <is>
          <t>-</t>
        </is>
      </c>
      <c r="G18" s="20" t="inlineStr">
        <is>
          <t>-</t>
        </is>
      </c>
      <c r="H18" s="20" t="inlineStr">
        <is>
          <t>-</t>
        </is>
      </c>
      <c r="I18" s="25" t="inlineStr">
        <is>
          <t>Pending data</t>
        </is>
      </c>
    </row>
    <row r="19">
      <c r="A19" s="22" t="inlineStr">
        <is>
          <t>O</t>
        </is>
      </c>
      <c r="B19" s="22" t="inlineStr">
        <is>
          <t>O1</t>
        </is>
      </c>
      <c r="C19" s="22" t="n">
        <v>3</v>
      </c>
      <c r="D19" s="23" t="inlineStr">
        <is>
          <t>3_O001 ⇄ 1_A001 ⇄ 3_O003 ⇄ 1_B003</t>
        </is>
      </c>
      <c r="E19" s="22" t="inlineStr">
        <is>
          <t>1 : 1 : 1 : n</t>
        </is>
      </c>
      <c r="F19" s="20" t="inlineStr">
        <is>
          <t>-</t>
        </is>
      </c>
      <c r="G19" s="20" t="inlineStr">
        <is>
          <t>-</t>
        </is>
      </c>
      <c r="H19" s="20" t="inlineStr">
        <is>
          <t>-</t>
        </is>
      </c>
      <c r="I19" s="25" t="inlineStr">
        <is>
          <t>Pending data</t>
        </is>
      </c>
    </row>
    <row r="20">
      <c r="A20" s="22" t="inlineStr">
        <is>
          <t>O</t>
        </is>
      </c>
      <c r="B20" s="22" t="inlineStr">
        <is>
          <t>O1</t>
        </is>
      </c>
      <c r="C20" s="22" t="n">
        <v>4</v>
      </c>
      <c r="D20" s="23" t="inlineStr">
        <is>
          <t>3_O001 ⇄ 1_A002 ⇄ 1_B004</t>
        </is>
      </c>
      <c r="E20" s="22" t="inlineStr">
        <is>
          <t>1 : 1 : n</t>
        </is>
      </c>
      <c r="F20" s="20" t="inlineStr">
        <is>
          <t>-</t>
        </is>
      </c>
      <c r="G20" s="20" t="inlineStr">
        <is>
          <t>-</t>
        </is>
      </c>
      <c r="H20" s="20" t="inlineStr">
        <is>
          <t>-</t>
        </is>
      </c>
      <c r="I20" s="25" t="inlineStr">
        <is>
          <t>Pending data</t>
        </is>
      </c>
    </row>
    <row r="21">
      <c r="A21" s="22" t="inlineStr">
        <is>
          <t>O</t>
        </is>
      </c>
      <c r="B21" s="22" t="inlineStr">
        <is>
          <t>O2</t>
        </is>
      </c>
      <c r="C21" s="22" t="n">
        <v>5</v>
      </c>
      <c r="D21" s="23" t="inlineStr">
        <is>
          <t>3_O002 ⇄ 1_A005 ⇄ 1_B002</t>
        </is>
      </c>
      <c r="E21" s="22" t="inlineStr">
        <is>
          <t>1 : 2 : n</t>
        </is>
      </c>
      <c r="F21" s="20" t="inlineStr">
        <is>
          <t>-</t>
        </is>
      </c>
      <c r="G21" s="20" t="inlineStr">
        <is>
          <t>-</t>
        </is>
      </c>
      <c r="H21" s="20" t="inlineStr">
        <is>
          <t>-</t>
        </is>
      </c>
      <c r="I21" s="25" t="inlineStr">
        <is>
          <t>Pending data</t>
        </is>
      </c>
    </row>
    <row r="22">
      <c r="A22" s="22" t="inlineStr">
        <is>
          <t>O</t>
        </is>
      </c>
      <c r="B22" s="22" t="inlineStr">
        <is>
          <t>O3</t>
        </is>
      </c>
      <c r="C22" s="22" t="n">
        <v>6</v>
      </c>
      <c r="D22" s="23" t="inlineStr">
        <is>
          <t>3_O003 ⇄ 1_A008 ⇄ 1_B008</t>
        </is>
      </c>
      <c r="E22" s="22" t="inlineStr">
        <is>
          <t>1 : 1 : n</t>
        </is>
      </c>
      <c r="F22" s="20" t="inlineStr">
        <is>
          <t>-</t>
        </is>
      </c>
      <c r="G22" s="20" t="inlineStr">
        <is>
          <t>-</t>
        </is>
      </c>
      <c r="H22" s="20" t="inlineStr">
        <is>
          <t>-</t>
        </is>
      </c>
      <c r="I22" s="25" t="inlineStr">
        <is>
          <t>Pending data</t>
        </is>
      </c>
    </row>
    <row r="23">
      <c r="A23" s="22" t="inlineStr">
        <is>
          <t>C</t>
        </is>
      </c>
      <c r="B23" s="22" t="inlineStr">
        <is>
          <t>C1</t>
        </is>
      </c>
      <c r="C23" s="22" t="n">
        <v>1</v>
      </c>
      <c r="D23" s="23" t="inlineStr">
        <is>
          <t>1_A008 ⇄ 4_C001</t>
        </is>
      </c>
      <c r="E23" s="22" t="inlineStr">
        <is>
          <t>1 : 2</t>
        </is>
      </c>
      <c r="F23" s="20" t="inlineStr">
        <is>
          <t>-</t>
        </is>
      </c>
      <c r="G23" s="20" t="inlineStr">
        <is>
          <t>-</t>
        </is>
      </c>
      <c r="H23" s="20" t="inlineStr">
        <is>
          <t>-</t>
        </is>
      </c>
      <c r="I23" s="25" t="inlineStr">
        <is>
          <t>Pending data</t>
        </is>
      </c>
    </row>
    <row r="24">
      <c r="A24" s="22" t="inlineStr">
        <is>
          <t>C</t>
        </is>
      </c>
      <c r="B24" s="22" t="inlineStr">
        <is>
          <t>C1</t>
        </is>
      </c>
      <c r="C24" s="22" t="n">
        <v>2</v>
      </c>
      <c r="D24" s="23" t="inlineStr">
        <is>
          <t>1_A008 ⇄ 4_C002 ⇄ 4_C003</t>
        </is>
      </c>
      <c r="E24" s="22" t="inlineStr">
        <is>
          <t>1 : 1 : 1</t>
        </is>
      </c>
      <c r="F24" s="20" t="inlineStr">
        <is>
          <t>-</t>
        </is>
      </c>
      <c r="G24" s="20" t="inlineStr">
        <is>
          <t>-</t>
        </is>
      </c>
      <c r="H24" s="20" t="inlineStr">
        <is>
          <t>-</t>
        </is>
      </c>
      <c r="I24" s="25" t="inlineStr">
        <is>
          <t>Pending data</t>
        </is>
      </c>
    </row>
    <row r="25">
      <c r="A25" s="22" t="inlineStr">
        <is>
          <t>C</t>
        </is>
      </c>
      <c r="B25" s="22" t="inlineStr">
        <is>
          <t>C1</t>
        </is>
      </c>
      <c r="C25" s="22" t="n">
        <v>3</v>
      </c>
      <c r="D25" s="23" t="inlineStr">
        <is>
          <t>1_A008 ⇄ 1_B008</t>
        </is>
      </c>
      <c r="E25" s="22" t="inlineStr">
        <is>
          <t>1 : n</t>
        </is>
      </c>
      <c r="F25" s="20" t="inlineStr">
        <is>
          <t>-</t>
        </is>
      </c>
      <c r="G25" s="20" t="inlineStr">
        <is>
          <t>-</t>
        </is>
      </c>
      <c r="H25" s="20" t="inlineStr">
        <is>
          <t>-</t>
        </is>
      </c>
      <c r="I25" s="25" t="inlineStr">
        <is>
          <t>Pending data</t>
        </is>
      </c>
    </row>
  </sheetData>
  <mergeCells count="2">
    <mergeCell ref="A1:I1"/>
    <mergeCell ref="A2:I2"/>
  </mergeCells>
  <conditionalFormatting sqref="I5:I25">
    <cfRule type="expression" priority="1" dxfId="0">
      <formula>$I5="OK"</formula>
    </cfRule>
    <cfRule type="expression" priority="2" dxfId="1">
      <formula>LEFT($I5,5)="ERROR"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14" customWidth="1" min="4" max="4"/>
    <col width="14" customWidth="1" min="5" max="5"/>
    <col width="13" customWidth="1" min="6" max="6"/>
    <col width="18" customWidth="1" min="7" max="7"/>
    <col width="48" customWidth="1" min="8" max="8"/>
  </cols>
  <sheetData>
    <row r="1" ht="26" customHeight="1">
      <c r="A1" s="1" t="inlineStr">
        <is>
          <t>RECON DETAIL  —  ผลการตรวจรายบรรทัด  (Set D1-1 : 2_D001 ⇄ 1_A009)</t>
        </is>
      </c>
    </row>
    <row r="2" ht="30" customHeight="1">
      <c r="A2" s="2" t="inlineStr">
        <is>
          <t>ตรวจ 2 ทิศทางพร้อมกันต่อ Key  |  สูตรคำนวณสดจากชีท Sample_Data  |  คอลัมน์ ERROR Message = ข้อความนำกลับไปแก้ที่ A1_System (ผูกกับไฟล์ 1_B009)</t>
        </is>
      </c>
    </row>
    <row r="5" ht="28" customHeight="1">
      <c r="A5" s="21" t="inlineStr">
        <is>
          <t>Key (Arrangement No.)</t>
        </is>
      </c>
      <c r="B5" s="21" t="inlineStr">
        <is>
          <t>In Database? (2_D001)</t>
        </is>
      </c>
      <c r="C5" s="21" t="inlineStr">
        <is>
          <t>In A1_System? (1_A009)</t>
        </is>
      </c>
      <c r="D5" s="21" t="inlineStr">
        <is>
          <t>DB Amount</t>
        </is>
      </c>
      <c r="E5" s="21" t="inlineStr">
        <is>
          <t>A1 Amount</t>
        </is>
      </c>
      <c r="F5" s="21" t="inlineStr">
        <is>
          <t>Amount Diff</t>
        </is>
      </c>
      <c r="G5" s="21" t="inlineStr">
        <is>
          <t>Result / Status</t>
        </is>
      </c>
      <c r="H5" s="21" t="inlineStr">
        <is>
          <t>ERROR Message (→ fix in A1_System)</t>
        </is>
      </c>
    </row>
    <row r="6">
      <c r="A6" s="17" t="inlineStr">
        <is>
          <t>FX001</t>
        </is>
      </c>
      <c r="B6" s="20">
        <f>IF(COUNTIF(Sample_Data!$B$6:$B$9,A6)&gt;0,"YES","NO")</f>
        <v/>
      </c>
      <c r="C6" s="20">
        <f>IF(COUNTIF(Sample_Data!$G$6:$G$9,A6)&gt;0,"YES","NO")</f>
        <v/>
      </c>
      <c r="D6" s="26">
        <f>SUMIF(Sample_Data!$B$6:$B$9,A6,Sample_Data!$D$6:$D$9)</f>
        <v/>
      </c>
      <c r="E6" s="26">
        <f>SUMIF(Sample_Data!$G$6:$G$9,A6,Sample_Data!$I$6:$I$9)</f>
        <v/>
      </c>
      <c r="F6" s="27">
        <f>D6-E6</f>
        <v/>
      </c>
      <c r="G6" s="24">
        <f>IF(AND(B6="YES",C6="NO"),"EXTRA in A1",IF(AND(B6="NO",C6="YES"),"MISSING in A1",IF(ABS(F6)&gt;Tol,"AMOUNT MISMATCH","OK / Matched")))</f>
        <v/>
      </c>
      <c r="H6" s="28">
        <f>IF(G6="EXTRA in A1","พบใน A1_System แต่ไม่มีใน Database — ตรวจสอบ/ลบรายการเกินที่ A1_System",IF(G6="MISSING in A1","มีใน Database แต่ขาดใน A1_System — บันทึกเพิ่มที่ A1_System",IF(G6="AMOUNT MISMATCH","จำนวนเงินไม่ตรง (DB="&amp;TEXT(D6,"#,##0")&amp;" / A1="&amp;TEXT(E6,"#,##0")&amp;") — แก้จำนวนเงินที่ A1_System","")))</f>
        <v/>
      </c>
    </row>
    <row r="7">
      <c r="A7" s="17" t="inlineStr">
        <is>
          <t>FX002</t>
        </is>
      </c>
      <c r="B7" s="20">
        <f>IF(COUNTIF(Sample_Data!$B$6:$B$9,A7)&gt;0,"YES","NO")</f>
        <v/>
      </c>
      <c r="C7" s="20">
        <f>IF(COUNTIF(Sample_Data!$G$6:$G$9,A7)&gt;0,"YES","NO")</f>
        <v/>
      </c>
      <c r="D7" s="26">
        <f>SUMIF(Sample_Data!$B$6:$B$9,A7,Sample_Data!$D$6:$D$9)</f>
        <v/>
      </c>
      <c r="E7" s="26">
        <f>SUMIF(Sample_Data!$G$6:$G$9,A7,Sample_Data!$I$6:$I$9)</f>
        <v/>
      </c>
      <c r="F7" s="27">
        <f>D7-E7</f>
        <v/>
      </c>
      <c r="G7" s="24">
        <f>IF(AND(B7="YES",C7="NO"),"EXTRA in A1",IF(AND(B7="NO",C7="YES"),"MISSING in A1",IF(ABS(F7)&gt;Tol,"AMOUNT MISMATCH","OK / Matched")))</f>
        <v/>
      </c>
      <c r="H7" s="28">
        <f>IF(G7="EXTRA in A1","พบใน A1_System แต่ไม่มีใน Database — ตรวจสอบ/ลบรายการเกินที่ A1_System",IF(G7="MISSING in A1","มีใน Database แต่ขาดใน A1_System — บันทึกเพิ่มที่ A1_System",IF(G7="AMOUNT MISMATCH","จำนวนเงินไม่ตรง (DB="&amp;TEXT(D7,"#,##0")&amp;" / A1="&amp;TEXT(E7,"#,##0")&amp;") — แก้จำนวนเงินที่ A1_System","")))</f>
        <v/>
      </c>
    </row>
    <row r="8">
      <c r="A8" s="17" t="inlineStr">
        <is>
          <t>FX003</t>
        </is>
      </c>
      <c r="B8" s="20">
        <f>IF(COUNTIF(Sample_Data!$B$6:$B$9,A8)&gt;0,"YES","NO")</f>
        <v/>
      </c>
      <c r="C8" s="20">
        <f>IF(COUNTIF(Sample_Data!$G$6:$G$9,A8)&gt;0,"YES","NO")</f>
        <v/>
      </c>
      <c r="D8" s="26">
        <f>SUMIF(Sample_Data!$B$6:$B$9,A8,Sample_Data!$D$6:$D$9)</f>
        <v/>
      </c>
      <c r="E8" s="26">
        <f>SUMIF(Sample_Data!$G$6:$G$9,A8,Sample_Data!$I$6:$I$9)</f>
        <v/>
      </c>
      <c r="F8" s="27">
        <f>D8-E8</f>
        <v/>
      </c>
      <c r="G8" s="24">
        <f>IF(AND(B8="YES",C8="NO"),"EXTRA in A1",IF(AND(B8="NO",C8="YES"),"MISSING in A1",IF(ABS(F8)&gt;Tol,"AMOUNT MISMATCH","OK / Matched")))</f>
        <v/>
      </c>
      <c r="H8" s="28">
        <f>IF(G8="EXTRA in A1","พบใน A1_System แต่ไม่มีใน Database — ตรวจสอบ/ลบรายการเกินที่ A1_System",IF(G8="MISSING in A1","มีใน Database แต่ขาดใน A1_System — บันทึกเพิ่มที่ A1_System",IF(G8="AMOUNT MISMATCH","จำนวนเงินไม่ตรง (DB="&amp;TEXT(D8,"#,##0")&amp;" / A1="&amp;TEXT(E8,"#,##0")&amp;") — แก้จำนวนเงินที่ A1_System","")))</f>
        <v/>
      </c>
    </row>
    <row r="9">
      <c r="A9" s="17" t="inlineStr">
        <is>
          <t>FX004</t>
        </is>
      </c>
      <c r="B9" s="20">
        <f>IF(COUNTIF(Sample_Data!$B$6:$B$9,A9)&gt;0,"YES","NO")</f>
        <v/>
      </c>
      <c r="C9" s="20">
        <f>IF(COUNTIF(Sample_Data!$G$6:$G$9,A9)&gt;0,"YES","NO")</f>
        <v/>
      </c>
      <c r="D9" s="26">
        <f>SUMIF(Sample_Data!$B$6:$B$9,A9,Sample_Data!$D$6:$D$9)</f>
        <v/>
      </c>
      <c r="E9" s="26">
        <f>SUMIF(Sample_Data!$G$6:$G$9,A9,Sample_Data!$I$6:$I$9)</f>
        <v/>
      </c>
      <c r="F9" s="27">
        <f>D9-E9</f>
        <v/>
      </c>
      <c r="G9" s="24">
        <f>IF(AND(B9="YES",C9="NO"),"EXTRA in A1",IF(AND(B9="NO",C9="YES"),"MISSING in A1",IF(ABS(F9)&gt;Tol,"AMOUNT MISMATCH","OK / Matched")))</f>
        <v/>
      </c>
      <c r="H9" s="28">
        <f>IF(G9="EXTRA in A1","พบใน A1_System แต่ไม่มีใน Database — ตรวจสอบ/ลบรายการเกินที่ A1_System",IF(G9="MISSING in A1","มีใน Database แต่ขาดใน A1_System — บันทึกเพิ่มที่ A1_System",IF(G9="AMOUNT MISMATCH","จำนวนเงินไม่ตรง (DB="&amp;TEXT(D9,"#,##0")&amp;" / A1="&amp;TEXT(E9,"#,##0")&amp;") — แก้จำนวนเงินที่ A1_System","")))</f>
        <v/>
      </c>
    </row>
    <row r="10">
      <c r="A10" s="17" t="inlineStr">
        <is>
          <t>FX005</t>
        </is>
      </c>
      <c r="B10" s="20">
        <f>IF(COUNTIF(Sample_Data!$B$6:$B$9,A10)&gt;0,"YES","NO")</f>
        <v/>
      </c>
      <c r="C10" s="20">
        <f>IF(COUNTIF(Sample_Data!$G$6:$G$9,A10)&gt;0,"YES","NO")</f>
        <v/>
      </c>
      <c r="D10" s="26">
        <f>SUMIF(Sample_Data!$B$6:$B$9,A10,Sample_Data!$D$6:$D$9)</f>
        <v/>
      </c>
      <c r="E10" s="26">
        <f>SUMIF(Sample_Data!$G$6:$G$9,A10,Sample_Data!$I$6:$I$9)</f>
        <v/>
      </c>
      <c r="F10" s="27">
        <f>D10-E10</f>
        <v/>
      </c>
      <c r="G10" s="24">
        <f>IF(AND(B10="YES",C10="NO"),"EXTRA in A1",IF(AND(B10="NO",C10="YES"),"MISSING in A1",IF(ABS(F10)&gt;Tol,"AMOUNT MISMATCH","OK / Matched")))</f>
        <v/>
      </c>
      <c r="H10" s="28">
        <f>IF(G10="EXTRA in A1","พบใน A1_System แต่ไม่มีใน Database — ตรวจสอบ/ลบรายการเกินที่ A1_System",IF(G10="MISSING in A1","มีใน Database แต่ขาดใน A1_System — บันทึกเพิ่มที่ A1_System",IF(G10="AMOUNT MISMATCH","จำนวนเงินไม่ตรง (DB="&amp;TEXT(D10,"#,##0")&amp;" / A1="&amp;TEXT(E10,"#,##0")&amp;") — แก้จำนวนเงินที่ A1_System","")))</f>
        <v/>
      </c>
    </row>
  </sheetData>
  <mergeCells count="2">
    <mergeCell ref="A2:H2"/>
    <mergeCell ref="A1:H1"/>
  </mergeCells>
  <conditionalFormatting sqref="A6:H10">
    <cfRule type="expression" priority="1" dxfId="2">
      <formula>$G6="OK / Matched"</formula>
    </cfRule>
    <cfRule type="expression" priority="2" dxfId="1">
      <formula>OR($G6="EXTRA in A1",$G6="MISSING in A1")</formula>
    </cfRule>
    <cfRule type="expression" priority="3" dxfId="3">
      <formula>$G6="AMOUNT MISMATCH"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8" customWidth="1" min="3" max="3"/>
    <col width="24" customWidth="1" min="4" max="4"/>
    <col width="14" customWidth="1" min="5" max="5"/>
    <col width="3" customWidth="1" min="6" max="6"/>
    <col width="28" customWidth="1" min="7" max="7"/>
    <col width="12" customWidth="1" min="8" max="8"/>
    <col width="18" customWidth="1" min="9" max="9"/>
    <col width="14" customWidth="1" min="10" max="10"/>
  </cols>
  <sheetData>
    <row r="1" ht="26" customHeight="1">
      <c r="A1" s="1" t="inlineStr">
        <is>
          <t>SAMPLE DATA  —  ข้อมูลจำลองของ Set ตัวอย่าง D1-1   (2_D001  ⇄  1_A009)</t>
        </is>
      </c>
    </row>
    <row r="2" ht="30" customHeight="1">
      <c r="A2" s="2" t="inlineStr">
        <is>
          <t>Prototype: ข้อมูลสมมุติเพื่อสาธิตการคำนวณสด  |  สมมุติว่า TRADE_REF (Database) = FI Arrangement Number (A1_System)  |  กรองแล้วตาม Date/Dept</t>
        </is>
      </c>
    </row>
    <row r="4">
      <c r="B4" s="29" t="inlineStr">
        <is>
          <t>ตาราง A : Product Database  2_D001  (กรองตาม TRADE_DATE = ChkDate)</t>
        </is>
      </c>
      <c r="G4" s="30" t="inlineStr">
        <is>
          <t>ตาราง B : A1_System  1_A009  (กรองตาม Data Set Date = ChkDate, Dept)</t>
        </is>
      </c>
    </row>
    <row r="5" ht="28" customHeight="1">
      <c r="B5" s="31" t="inlineStr">
        <is>
          <t>TRADE_REF (Key)</t>
        </is>
      </c>
      <c r="C5" s="31" t="inlineStr">
        <is>
          <t>CCY</t>
        </is>
      </c>
      <c r="D5" s="31" t="inlineStr">
        <is>
          <t>RCV_INIT_PRINCIPAL (Amount)</t>
        </is>
      </c>
      <c r="E5" s="31" t="inlineStr">
        <is>
          <t>TRADE_DATE</t>
        </is>
      </c>
      <c r="G5" s="32" t="inlineStr">
        <is>
          <t>FI Arrangement Number (Key)</t>
        </is>
      </c>
      <c r="H5" s="32" t="inlineStr">
        <is>
          <t>Currency</t>
        </is>
      </c>
      <c r="I5" s="32" t="inlineStr">
        <is>
          <t>Initial Buy Amount</t>
        </is>
      </c>
      <c r="J5" s="32" t="inlineStr">
        <is>
          <t>Data Set Date</t>
        </is>
      </c>
    </row>
    <row r="6">
      <c r="B6" s="33" t="inlineStr">
        <is>
          <t>FX001</t>
        </is>
      </c>
      <c r="C6" s="20" t="inlineStr">
        <is>
          <t>USD</t>
        </is>
      </c>
      <c r="D6" s="26" t="n">
        <v>1000000</v>
      </c>
      <c r="E6" s="20" t="inlineStr">
        <is>
          <t>2026-05-30</t>
        </is>
      </c>
      <c r="G6" s="33" t="inlineStr">
        <is>
          <t>FX001</t>
        </is>
      </c>
      <c r="H6" s="20" t="inlineStr">
        <is>
          <t>USD</t>
        </is>
      </c>
      <c r="I6" s="26" t="n">
        <v>1000000</v>
      </c>
      <c r="J6" s="20" t="inlineStr">
        <is>
          <t>2026-05-30</t>
        </is>
      </c>
    </row>
    <row r="7">
      <c r="B7" s="33" t="inlineStr">
        <is>
          <t>FX002</t>
        </is>
      </c>
      <c r="C7" s="20" t="inlineStr">
        <is>
          <t>USD</t>
        </is>
      </c>
      <c r="D7" s="26" t="n">
        <v>2000000</v>
      </c>
      <c r="E7" s="20" t="inlineStr">
        <is>
          <t>2026-05-30</t>
        </is>
      </c>
      <c r="G7" s="33" t="inlineStr">
        <is>
          <t>FX002</t>
        </is>
      </c>
      <c r="H7" s="20" t="inlineStr">
        <is>
          <t>USD</t>
        </is>
      </c>
      <c r="I7" s="26" t="n">
        <v>2050000</v>
      </c>
      <c r="J7" s="20" t="inlineStr">
        <is>
          <t>2026-05-30</t>
        </is>
      </c>
    </row>
    <row r="8">
      <c r="B8" s="33" t="inlineStr">
        <is>
          <t>FX003</t>
        </is>
      </c>
      <c r="C8" s="20" t="inlineStr">
        <is>
          <t>EUR</t>
        </is>
      </c>
      <c r="D8" s="26" t="n">
        <v>1500000</v>
      </c>
      <c r="E8" s="20" t="inlineStr">
        <is>
          <t>2026-05-30</t>
        </is>
      </c>
      <c r="G8" s="33" t="inlineStr">
        <is>
          <t>FX003</t>
        </is>
      </c>
      <c r="H8" s="20" t="inlineStr">
        <is>
          <t>EUR</t>
        </is>
      </c>
      <c r="I8" s="26" t="n">
        <v>1500000</v>
      </c>
      <c r="J8" s="20" t="inlineStr">
        <is>
          <t>2026-05-30</t>
        </is>
      </c>
    </row>
    <row r="9">
      <c r="B9" s="33" t="inlineStr">
        <is>
          <t>FX004</t>
        </is>
      </c>
      <c r="C9" s="20" t="inlineStr">
        <is>
          <t>JPY</t>
        </is>
      </c>
      <c r="D9" s="26" t="n">
        <v>3000000</v>
      </c>
      <c r="E9" s="20" t="inlineStr">
        <is>
          <t>2026-05-30</t>
        </is>
      </c>
      <c r="G9" s="33" t="inlineStr">
        <is>
          <t>FX005</t>
        </is>
      </c>
      <c r="H9" s="20" t="inlineStr">
        <is>
          <t>GBP</t>
        </is>
      </c>
      <c r="I9" s="26" t="n">
        <v>800000</v>
      </c>
      <c r="J9" s="20" t="inlineStr">
        <is>
          <t>2026-05-30</t>
        </is>
      </c>
    </row>
    <row r="12">
      <c r="B12" s="34" t="inlineStr">
        <is>
          <t>หมายเหตุข้อมูลจำลอง:  FX004 มีใน Database แต่ไม่มีใน A1 (บันทึกขาด/MISSING)  |  FX005 มีใน A1 แต่ไม่มีใน Database (บันทึกเกิน/EXTRA)  |  FX002 มีทั้งคู่แต่จำนวนเงินไม่ตรง (MISMATCH)</t>
        </is>
      </c>
    </row>
    <row r="13"/>
  </sheetData>
  <mergeCells count="5">
    <mergeCell ref="B4:E4"/>
    <mergeCell ref="A2:H2"/>
    <mergeCell ref="G4:J4"/>
    <mergeCell ref="A1:H1"/>
    <mergeCell ref="B12:J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24" customWidth="1" min="9" max="9"/>
    <col width="18" customWidth="1" min="10" max="10"/>
    <col width="16" customWidth="1" min="11" max="11"/>
    <col width="16" customWidth="1" min="12" max="12"/>
    <col width="26" customWidth="1" min="13" max="13"/>
  </cols>
  <sheetData>
    <row r="1" ht="26" customHeight="1">
      <c r="A1" s="1" t="inlineStr">
        <is>
          <t>MAP CONFIG  —  แผนผังการ Reconcile (จากชีท 1_Flow_Map)</t>
        </is>
      </c>
    </row>
    <row r="2" ht="30" customHeight="1">
      <c r="A2" s="2" t="inlineStr">
        <is>
          <t>แต่ละ Set = สายการตรวจ Source#1 → Source#4  พร้อม Key Mapping &amp; คอลัมน์วันที่ของแต่ละไฟล์ (ดึงจาก 3_DataSource)  |  Trans.Map = cardinality เช่น 1:1:n</t>
        </is>
      </c>
    </row>
    <row r="4" ht="28" customHeight="1">
      <c r="A4" s="21" t="inlineStr">
        <is>
          <t>Product</t>
        </is>
      </c>
      <c r="B4" s="21" t="inlineStr">
        <is>
          <t>Category</t>
        </is>
      </c>
      <c r="C4" s="21" t="inlineStr">
        <is>
          <t>Set No.</t>
        </is>
      </c>
      <c r="D4" s="21" t="inlineStr">
        <is>
          <t>Source#1</t>
        </is>
      </c>
      <c r="E4" s="21" t="inlineStr">
        <is>
          <t>Source#2</t>
        </is>
      </c>
      <c r="F4" s="21" t="inlineStr">
        <is>
          <t>Source#3</t>
        </is>
      </c>
      <c r="G4" s="21" t="inlineStr">
        <is>
          <t>Source#4</t>
        </is>
      </c>
      <c r="H4" s="21" t="inlineStr">
        <is>
          <t>Trans.Map</t>
        </is>
      </c>
      <c r="I4" s="21" t="inlineStr">
        <is>
          <t>Key Mapping (Source#1)</t>
        </is>
      </c>
      <c r="J4" s="21" t="inlineStr">
        <is>
          <t>Date Filter (Source#1)</t>
        </is>
      </c>
      <c r="K4" s="21" t="inlineStr">
        <is>
          <t>Database file</t>
        </is>
      </c>
      <c r="L4" s="21" t="inlineStr">
        <is>
          <t>A1_System file(s)</t>
        </is>
      </c>
      <c r="M4" s="21" t="inlineStr">
        <is>
          <t>Output (1_B / ERROR)</t>
        </is>
      </c>
    </row>
    <row r="5">
      <c r="A5" s="35" t="inlineStr">
        <is>
          <t>D</t>
        </is>
      </c>
      <c r="B5" s="22" t="inlineStr">
        <is>
          <t>D1</t>
        </is>
      </c>
      <c r="C5" s="22" t="n">
        <v>1</v>
      </c>
      <c r="D5" s="23" t="inlineStr">
        <is>
          <t>2_D001</t>
        </is>
      </c>
      <c r="E5" s="23" t="inlineStr">
        <is>
          <t>1_A009</t>
        </is>
      </c>
      <c r="F5" s="23" t="inlineStr">
        <is>
          <t>1_B009</t>
        </is>
      </c>
      <c r="G5" s="23" t="inlineStr"/>
      <c r="H5" s="22" t="inlineStr">
        <is>
          <t>1 : 1 : n</t>
        </is>
      </c>
      <c r="I5" s="23" t="inlineStr">
        <is>
          <t>TRADE_REF</t>
        </is>
      </c>
      <c r="J5" s="23" t="inlineStr">
        <is>
          <t>TRADE_DATE</t>
        </is>
      </c>
      <c r="K5" s="23" t="inlineStr">
        <is>
          <t>2_D001</t>
        </is>
      </c>
      <c r="L5" s="23" t="inlineStr">
        <is>
          <t>1_A009</t>
        </is>
      </c>
      <c r="M5" s="23" t="inlineStr">
        <is>
          <t>1_B009</t>
        </is>
      </c>
    </row>
    <row r="6">
      <c r="A6" s="35" t="inlineStr">
        <is>
          <t>D</t>
        </is>
      </c>
      <c r="B6" s="22" t="inlineStr">
        <is>
          <t>D1</t>
        </is>
      </c>
      <c r="C6" s="22" t="n">
        <v>2</v>
      </c>
      <c r="D6" s="23" t="inlineStr">
        <is>
          <t>2_D001</t>
        </is>
      </c>
      <c r="E6" s="23" t="inlineStr">
        <is>
          <t>1_A005</t>
        </is>
      </c>
      <c r="F6" s="23" t="inlineStr">
        <is>
          <t>1_B002</t>
        </is>
      </c>
      <c r="G6" s="23" t="inlineStr"/>
      <c r="H6" s="22" t="inlineStr">
        <is>
          <t>1 : 1 : n</t>
        </is>
      </c>
      <c r="I6" s="23" t="inlineStr">
        <is>
          <t>TRADE_REF</t>
        </is>
      </c>
      <c r="J6" s="23" t="inlineStr">
        <is>
          <t>TRADE_DATE</t>
        </is>
      </c>
      <c r="K6" s="23" t="inlineStr">
        <is>
          <t>2_D001</t>
        </is>
      </c>
      <c r="L6" s="23" t="inlineStr">
        <is>
          <t>1_A005</t>
        </is>
      </c>
      <c r="M6" s="23" t="inlineStr">
        <is>
          <t>1_B002</t>
        </is>
      </c>
    </row>
    <row r="7">
      <c r="A7" s="35" t="inlineStr">
        <is>
          <t>D</t>
        </is>
      </c>
      <c r="B7" s="22" t="inlineStr">
        <is>
          <t>D1</t>
        </is>
      </c>
      <c r="C7" s="22" t="n">
        <v>3</v>
      </c>
      <c r="D7" s="23" t="inlineStr">
        <is>
          <t>2_D001</t>
        </is>
      </c>
      <c r="E7" s="23" t="inlineStr">
        <is>
          <t>1_A001</t>
        </is>
      </c>
      <c r="F7" s="23" t="inlineStr">
        <is>
          <t>1_B003</t>
        </is>
      </c>
      <c r="G7" s="23" t="inlineStr"/>
      <c r="H7" s="22" t="inlineStr">
        <is>
          <t>1 : 1,2 : n</t>
        </is>
      </c>
      <c r="I7" s="23" t="inlineStr">
        <is>
          <t>TRADE_REF</t>
        </is>
      </c>
      <c r="J7" s="23" t="inlineStr">
        <is>
          <t>TRADE_DATE</t>
        </is>
      </c>
      <c r="K7" s="23" t="inlineStr">
        <is>
          <t>2_D001</t>
        </is>
      </c>
      <c r="L7" s="23" t="inlineStr">
        <is>
          <t>1_A001</t>
        </is>
      </c>
      <c r="M7" s="23" t="inlineStr">
        <is>
          <t>1_B003</t>
        </is>
      </c>
    </row>
    <row r="8">
      <c r="A8" s="35" t="inlineStr">
        <is>
          <t>D</t>
        </is>
      </c>
      <c r="B8" s="22" t="inlineStr">
        <is>
          <t>D1</t>
        </is>
      </c>
      <c r="C8" s="22" t="n">
        <v>4</v>
      </c>
      <c r="D8" s="23" t="inlineStr">
        <is>
          <t>2_D001</t>
        </is>
      </c>
      <c r="E8" s="23" t="inlineStr">
        <is>
          <t>1_A002</t>
        </is>
      </c>
      <c r="F8" s="23" t="inlineStr">
        <is>
          <t>1_B004</t>
        </is>
      </c>
      <c r="G8" s="23" t="inlineStr"/>
      <c r="H8" s="22" t="inlineStr">
        <is>
          <t>1 : 1 : n</t>
        </is>
      </c>
      <c r="I8" s="23" t="inlineStr">
        <is>
          <t>TRADE_REF</t>
        </is>
      </c>
      <c r="J8" s="23" t="inlineStr">
        <is>
          <t>TRADE_DATE</t>
        </is>
      </c>
      <c r="K8" s="23" t="inlineStr">
        <is>
          <t>2_D001</t>
        </is>
      </c>
      <c r="L8" s="23" t="inlineStr">
        <is>
          <t>1_A002</t>
        </is>
      </c>
      <c r="M8" s="23" t="inlineStr">
        <is>
          <t>1_B004</t>
        </is>
      </c>
    </row>
    <row r="9">
      <c r="A9" s="35" t="inlineStr">
        <is>
          <t>D</t>
        </is>
      </c>
      <c r="B9" s="22" t="inlineStr">
        <is>
          <t>D2</t>
        </is>
      </c>
      <c r="C9" s="22" t="n">
        <v>5</v>
      </c>
      <c r="D9" s="23" t="inlineStr">
        <is>
          <t>2_D002</t>
        </is>
      </c>
      <c r="E9" s="23" t="inlineStr">
        <is>
          <t>1_A003</t>
        </is>
      </c>
      <c r="F9" s="23" t="inlineStr">
        <is>
          <t>2_D001</t>
        </is>
      </c>
      <c r="G9" s="23" t="inlineStr">
        <is>
          <t>1_B006</t>
        </is>
      </c>
      <c r="H9" s="22" t="inlineStr">
        <is>
          <t>1 : 1 : 1 : n</t>
        </is>
      </c>
      <c r="I9" s="23" t="inlineStr">
        <is>
          <t>FI Arrangement Number</t>
        </is>
      </c>
      <c r="J9" s="23" t="inlineStr">
        <is>
          <t>Data Set Date</t>
        </is>
      </c>
      <c r="K9" s="23" t="inlineStr">
        <is>
          <t>2_D002, 2_D001</t>
        </is>
      </c>
      <c r="L9" s="23" t="inlineStr">
        <is>
          <t>1_A003</t>
        </is>
      </c>
      <c r="M9" s="23" t="inlineStr">
        <is>
          <t>1_B006</t>
        </is>
      </c>
    </row>
    <row r="10">
      <c r="A10" s="35" t="inlineStr">
        <is>
          <t>D</t>
        </is>
      </c>
      <c r="B10" s="22" t="inlineStr">
        <is>
          <t>D3</t>
        </is>
      </c>
      <c r="C10" s="22" t="n">
        <v>6</v>
      </c>
      <c r="D10" s="23" t="inlineStr">
        <is>
          <t>2_D003</t>
        </is>
      </c>
      <c r="E10" s="23" t="inlineStr">
        <is>
          <t>1_A001</t>
        </is>
      </c>
      <c r="F10" s="23" t="inlineStr">
        <is>
          <t>1_B003</t>
        </is>
      </c>
      <c r="G10" s="23" t="inlineStr"/>
      <c r="H10" s="22" t="inlineStr">
        <is>
          <t>1 : 1 : n</t>
        </is>
      </c>
      <c r="I10" s="23" t="inlineStr">
        <is>
          <t>Ref + CCY + Amount + CMF Code</t>
        </is>
      </c>
      <c r="J10" s="23" t="inlineStr">
        <is>
          <t>Date</t>
        </is>
      </c>
      <c r="K10" s="23" t="inlineStr">
        <is>
          <t>2_D003</t>
        </is>
      </c>
      <c r="L10" s="23" t="inlineStr">
        <is>
          <t>1_A001</t>
        </is>
      </c>
      <c r="M10" s="23" t="inlineStr">
        <is>
          <t>1_B003</t>
        </is>
      </c>
    </row>
    <row r="11">
      <c r="A11" s="35" t="inlineStr">
        <is>
          <t>D</t>
        </is>
      </c>
      <c r="B11" s="22" t="inlineStr">
        <is>
          <t>D3</t>
        </is>
      </c>
      <c r="C11" s="22" t="n">
        <v>7</v>
      </c>
      <c r="D11" s="23" t="inlineStr">
        <is>
          <t>2_D003</t>
        </is>
      </c>
      <c r="E11" s="23" t="inlineStr">
        <is>
          <t>1_A002</t>
        </is>
      </c>
      <c r="F11" s="23" t="inlineStr">
        <is>
          <t>1_B004</t>
        </is>
      </c>
      <c r="G11" s="23" t="inlineStr"/>
      <c r="H11" s="22" t="inlineStr">
        <is>
          <t>1 : 1 : n</t>
        </is>
      </c>
      <c r="I11" s="23" t="inlineStr">
        <is>
          <t>Ref + CCY + Amount + CMF Code</t>
        </is>
      </c>
      <c r="J11" s="23" t="inlineStr">
        <is>
          <t>Date</t>
        </is>
      </c>
      <c r="K11" s="23" t="inlineStr">
        <is>
          <t>2_D003</t>
        </is>
      </c>
      <c r="L11" s="23" t="inlineStr">
        <is>
          <t>1_A002</t>
        </is>
      </c>
      <c r="M11" s="23" t="inlineStr">
        <is>
          <t>1_B004</t>
        </is>
      </c>
    </row>
    <row r="12">
      <c r="A12" s="35" t="inlineStr">
        <is>
          <t>D</t>
        </is>
      </c>
      <c r="B12" s="22" t="inlineStr">
        <is>
          <t>D3</t>
        </is>
      </c>
      <c r="C12" s="22" t="n">
        <v>8</v>
      </c>
      <c r="D12" s="23" t="inlineStr">
        <is>
          <t>2_D003</t>
        </is>
      </c>
      <c r="E12" s="23" t="inlineStr">
        <is>
          <t>1_A004</t>
        </is>
      </c>
      <c r="F12" s="23" t="inlineStr">
        <is>
          <t>1_B001</t>
        </is>
      </c>
      <c r="G12" s="23" t="inlineStr"/>
      <c r="H12" s="22" t="inlineStr">
        <is>
          <t>1 : 1 : n</t>
        </is>
      </c>
      <c r="I12" s="23" t="inlineStr">
        <is>
          <t>Ref + CCY + Amount + CMF Code</t>
        </is>
      </c>
      <c r="J12" s="23" t="inlineStr">
        <is>
          <t>Date</t>
        </is>
      </c>
      <c r="K12" s="23" t="inlineStr">
        <is>
          <t>2_D003</t>
        </is>
      </c>
      <c r="L12" s="23" t="inlineStr">
        <is>
          <t>1_A004</t>
        </is>
      </c>
      <c r="M12" s="23" t="inlineStr">
        <is>
          <t>1_B001</t>
        </is>
      </c>
    </row>
    <row r="13">
      <c r="A13" s="35" t="inlineStr">
        <is>
          <t>D</t>
        </is>
      </c>
      <c r="B13" s="22" t="inlineStr">
        <is>
          <t>D3</t>
        </is>
      </c>
      <c r="C13" s="22" t="n">
        <v>9</v>
      </c>
      <c r="D13" s="23" t="inlineStr">
        <is>
          <t>2_D003</t>
        </is>
      </c>
      <c r="E13" s="23" t="inlineStr">
        <is>
          <t>1_A005</t>
        </is>
      </c>
      <c r="F13" s="23" t="inlineStr">
        <is>
          <t>1_B002</t>
        </is>
      </c>
      <c r="G13" s="23" t="inlineStr"/>
      <c r="H13" s="22" t="inlineStr">
        <is>
          <t>1 : 1 : n</t>
        </is>
      </c>
      <c r="I13" s="23" t="inlineStr">
        <is>
          <t>Ref + CCY + Amount + CMF Code</t>
        </is>
      </c>
      <c r="J13" s="23" t="inlineStr">
        <is>
          <t>Date</t>
        </is>
      </c>
      <c r="K13" s="23" t="inlineStr">
        <is>
          <t>2_D003</t>
        </is>
      </c>
      <c r="L13" s="23" t="inlineStr">
        <is>
          <t>1_A005</t>
        </is>
      </c>
      <c r="M13" s="23" t="inlineStr">
        <is>
          <t>1_B002</t>
        </is>
      </c>
    </row>
    <row r="14">
      <c r="A14" s="35" t="inlineStr">
        <is>
          <t>D</t>
        </is>
      </c>
      <c r="B14" s="22" t="inlineStr">
        <is>
          <t>D3</t>
        </is>
      </c>
      <c r="C14" s="22" t="n">
        <v>10</v>
      </c>
      <c r="D14" s="23" t="inlineStr">
        <is>
          <t>2_D003</t>
        </is>
      </c>
      <c r="E14" s="23" t="inlineStr">
        <is>
          <t>1_A008</t>
        </is>
      </c>
      <c r="F14" s="23" t="inlineStr">
        <is>
          <t>1_B008</t>
        </is>
      </c>
      <c r="G14" s="23" t="inlineStr"/>
      <c r="H14" s="22" t="inlineStr">
        <is>
          <t>1 : 1 : n</t>
        </is>
      </c>
      <c r="I14" s="23" t="inlineStr">
        <is>
          <t>Ref + CCY + Amount + CMF Code</t>
        </is>
      </c>
      <c r="J14" s="23" t="inlineStr">
        <is>
          <t>Date</t>
        </is>
      </c>
      <c r="K14" s="23" t="inlineStr">
        <is>
          <t>2_D003</t>
        </is>
      </c>
      <c r="L14" s="23" t="inlineStr">
        <is>
          <t>1_A008</t>
        </is>
      </c>
      <c r="M14" s="23" t="inlineStr">
        <is>
          <t>1_B008</t>
        </is>
      </c>
    </row>
    <row r="15">
      <c r="A15" s="35" t="inlineStr">
        <is>
          <t>D</t>
        </is>
      </c>
      <c r="B15" s="22" t="inlineStr">
        <is>
          <t>D3</t>
        </is>
      </c>
      <c r="C15" s="22" t="n">
        <v>11</v>
      </c>
      <c r="D15" s="23" t="inlineStr">
        <is>
          <t>2_D003</t>
        </is>
      </c>
      <c r="E15" s="23" t="inlineStr">
        <is>
          <t>1_A006</t>
        </is>
      </c>
      <c r="F15" s="23" t="inlineStr">
        <is>
          <t>1_B005</t>
        </is>
      </c>
      <c r="G15" s="23" t="inlineStr"/>
      <c r="H15" s="22" t="inlineStr">
        <is>
          <t>1 : n : n</t>
        </is>
      </c>
      <c r="I15" s="23" t="inlineStr">
        <is>
          <t>Ref + CCY + Amount + CMF Code</t>
        </is>
      </c>
      <c r="J15" s="23" t="inlineStr">
        <is>
          <t>Date</t>
        </is>
      </c>
      <c r="K15" s="23" t="inlineStr">
        <is>
          <t>2_D003</t>
        </is>
      </c>
      <c r="L15" s="23" t="inlineStr">
        <is>
          <t>1_A006</t>
        </is>
      </c>
      <c r="M15" s="23" t="inlineStr">
        <is>
          <t>1_B005</t>
        </is>
      </c>
    </row>
    <row r="16">
      <c r="A16" s="35" t="inlineStr">
        <is>
          <t>D</t>
        </is>
      </c>
      <c r="B16" s="22" t="inlineStr">
        <is>
          <t>D3</t>
        </is>
      </c>
      <c r="C16" s="22" t="n">
        <v>12</v>
      </c>
      <c r="D16" s="23" t="inlineStr">
        <is>
          <t>2_D003</t>
        </is>
      </c>
      <c r="E16" s="23" t="inlineStr">
        <is>
          <t>2_D004</t>
        </is>
      </c>
      <c r="F16" s="23" t="inlineStr">
        <is>
          <t>2_D005</t>
        </is>
      </c>
      <c r="G16" s="23" t="inlineStr">
        <is>
          <t>1_A005</t>
        </is>
      </c>
      <c r="H16" s="22" t="inlineStr">
        <is>
          <t>n : 1 : 1 : ?</t>
        </is>
      </c>
      <c r="I16" s="23" t="inlineStr">
        <is>
          <t>Ref + CCY + Amount + CMF Code</t>
        </is>
      </c>
      <c r="J16" s="23" t="inlineStr">
        <is>
          <t>Date</t>
        </is>
      </c>
      <c r="K16" s="23" t="inlineStr">
        <is>
          <t>2_D003, 2_D004, 2_D005</t>
        </is>
      </c>
      <c r="L16" s="23" t="inlineStr">
        <is>
          <t>1_A005</t>
        </is>
      </c>
      <c r="M16" s="23" t="inlineStr">
        <is>
          <t>(no 1_B — value match only)</t>
        </is>
      </c>
    </row>
    <row r="17">
      <c r="A17" s="35" t="inlineStr">
        <is>
          <t>O</t>
        </is>
      </c>
      <c r="B17" s="22" t="inlineStr">
        <is>
          <t>O1</t>
        </is>
      </c>
      <c r="C17" s="22" t="n">
        <v>1</v>
      </c>
      <c r="D17" s="23" t="inlineStr">
        <is>
          <t>3_O001</t>
        </is>
      </c>
      <c r="E17" s="23" t="inlineStr">
        <is>
          <t>1_A007</t>
        </is>
      </c>
      <c r="F17" s="23" t="inlineStr">
        <is>
          <t>1_B007</t>
        </is>
      </c>
      <c r="G17" s="23" t="inlineStr"/>
      <c r="H17" s="22" t="inlineStr">
        <is>
          <t>1 : 1 : n</t>
        </is>
      </c>
      <c r="I17" s="23" t="inlineStr">
        <is>
          <t>FI Arrangement Number</t>
        </is>
      </c>
      <c r="J17" s="23" t="inlineStr">
        <is>
          <t>Arrangement Contract Date</t>
        </is>
      </c>
      <c r="K17" s="23" t="inlineStr">
        <is>
          <t>3_O001</t>
        </is>
      </c>
      <c r="L17" s="23" t="inlineStr">
        <is>
          <t>1_A007</t>
        </is>
      </c>
      <c r="M17" s="23" t="inlineStr">
        <is>
          <t>1_B007</t>
        </is>
      </c>
    </row>
    <row r="18">
      <c r="A18" s="35" t="inlineStr">
        <is>
          <t>O</t>
        </is>
      </c>
      <c r="B18" s="22" t="inlineStr">
        <is>
          <t>O1</t>
        </is>
      </c>
      <c r="C18" s="22" t="n">
        <v>2</v>
      </c>
      <c r="D18" s="23" t="inlineStr">
        <is>
          <t>3_O001</t>
        </is>
      </c>
      <c r="E18" s="23" t="inlineStr">
        <is>
          <t>1_A005</t>
        </is>
      </c>
      <c r="F18" s="23" t="inlineStr">
        <is>
          <t>1_B002</t>
        </is>
      </c>
      <c r="G18" s="23" t="inlineStr"/>
      <c r="H18" s="22" t="inlineStr">
        <is>
          <t>1 : 1 : n</t>
        </is>
      </c>
      <c r="I18" s="23" t="inlineStr">
        <is>
          <t>FI Arrangement Number</t>
        </is>
      </c>
      <c r="J18" s="23" t="inlineStr">
        <is>
          <t>Arrangement Contract Date</t>
        </is>
      </c>
      <c r="K18" s="23" t="inlineStr">
        <is>
          <t>3_O001</t>
        </is>
      </c>
      <c r="L18" s="23" t="inlineStr">
        <is>
          <t>1_A005</t>
        </is>
      </c>
      <c r="M18" s="23" t="inlineStr">
        <is>
          <t>1_B002</t>
        </is>
      </c>
    </row>
    <row r="19">
      <c r="A19" s="35" t="inlineStr">
        <is>
          <t>O</t>
        </is>
      </c>
      <c r="B19" s="22" t="inlineStr">
        <is>
          <t>O1</t>
        </is>
      </c>
      <c r="C19" s="22" t="n">
        <v>3</v>
      </c>
      <c r="D19" s="23" t="inlineStr">
        <is>
          <t>3_O001</t>
        </is>
      </c>
      <c r="E19" s="23" t="inlineStr">
        <is>
          <t>1_A001</t>
        </is>
      </c>
      <c r="F19" s="23" t="inlineStr">
        <is>
          <t>3_O003</t>
        </is>
      </c>
      <c r="G19" s="23" t="inlineStr">
        <is>
          <t>1_B003</t>
        </is>
      </c>
      <c r="H19" s="22" t="inlineStr">
        <is>
          <t>1 : 1 : 1 : n</t>
        </is>
      </c>
      <c r="I19" s="23" t="inlineStr">
        <is>
          <t>FI Arrangement Number</t>
        </is>
      </c>
      <c r="J19" s="23" t="inlineStr">
        <is>
          <t>Arrangement Contract Date</t>
        </is>
      </c>
      <c r="K19" s="23" t="inlineStr">
        <is>
          <t>3_O001, 3_O003</t>
        </is>
      </c>
      <c r="L19" s="23" t="inlineStr">
        <is>
          <t>1_A001</t>
        </is>
      </c>
      <c r="M19" s="23" t="inlineStr">
        <is>
          <t>1_B003</t>
        </is>
      </c>
    </row>
    <row r="20">
      <c r="A20" s="35" t="inlineStr">
        <is>
          <t>O</t>
        </is>
      </c>
      <c r="B20" s="22" t="inlineStr">
        <is>
          <t>O1</t>
        </is>
      </c>
      <c r="C20" s="22" t="n">
        <v>4</v>
      </c>
      <c r="D20" s="23" t="inlineStr">
        <is>
          <t>3_O001</t>
        </is>
      </c>
      <c r="E20" s="23" t="inlineStr">
        <is>
          <t>1_A002</t>
        </is>
      </c>
      <c r="F20" s="23" t="inlineStr">
        <is>
          <t>1_B004</t>
        </is>
      </c>
      <c r="G20" s="23" t="inlineStr"/>
      <c r="H20" s="22" t="inlineStr">
        <is>
          <t>1 : 1 : n</t>
        </is>
      </c>
      <c r="I20" s="23" t="inlineStr">
        <is>
          <t>FI Arrangement Number</t>
        </is>
      </c>
      <c r="J20" s="23" t="inlineStr">
        <is>
          <t>Arrangement Contract Date</t>
        </is>
      </c>
      <c r="K20" s="23" t="inlineStr">
        <is>
          <t>3_O001</t>
        </is>
      </c>
      <c r="L20" s="23" t="inlineStr">
        <is>
          <t>1_A002</t>
        </is>
      </c>
      <c r="M20" s="23" t="inlineStr">
        <is>
          <t>1_B004</t>
        </is>
      </c>
    </row>
    <row r="21">
      <c r="A21" s="35" t="inlineStr">
        <is>
          <t>O</t>
        </is>
      </c>
      <c r="B21" s="22" t="inlineStr">
        <is>
          <t>O2</t>
        </is>
      </c>
      <c r="C21" s="22" t="n">
        <v>5</v>
      </c>
      <c r="D21" s="23" t="inlineStr">
        <is>
          <t>3_O002</t>
        </is>
      </c>
      <c r="E21" s="23" t="inlineStr">
        <is>
          <t>1_A005</t>
        </is>
      </c>
      <c r="F21" s="23" t="inlineStr">
        <is>
          <t>1_B002</t>
        </is>
      </c>
      <c r="G21" s="23" t="inlineStr"/>
      <c r="H21" s="22" t="inlineStr">
        <is>
          <t>1 : 2 : n</t>
        </is>
      </c>
      <c r="I21" s="23" t="inlineStr">
        <is>
          <t>OptionNum</t>
        </is>
      </c>
      <c r="J21" s="23" t="inlineStr">
        <is>
          <t>(none)</t>
        </is>
      </c>
      <c r="K21" s="23" t="inlineStr">
        <is>
          <t>3_O002</t>
        </is>
      </c>
      <c r="L21" s="23" t="inlineStr">
        <is>
          <t>1_A005</t>
        </is>
      </c>
      <c r="M21" s="23" t="inlineStr">
        <is>
          <t>1_B002</t>
        </is>
      </c>
    </row>
    <row r="22">
      <c r="A22" s="35" t="inlineStr">
        <is>
          <t>O</t>
        </is>
      </c>
      <c r="B22" s="22" t="inlineStr">
        <is>
          <t>O3</t>
        </is>
      </c>
      <c r="C22" s="22" t="n">
        <v>6</v>
      </c>
      <c r="D22" s="23" t="inlineStr">
        <is>
          <t>3_O003</t>
        </is>
      </c>
      <c r="E22" s="23" t="inlineStr">
        <is>
          <t>1_A008</t>
        </is>
      </c>
      <c r="F22" s="23" t="inlineStr">
        <is>
          <t>1_B008</t>
        </is>
      </c>
      <c r="G22" s="23" t="inlineStr"/>
      <c r="H22" s="22" t="inlineStr">
        <is>
          <t>1 : 1 : n</t>
        </is>
      </c>
      <c r="I22" s="23" t="inlineStr">
        <is>
          <t>CompositeOptSeqNum</t>
        </is>
      </c>
      <c r="J22" s="23" t="inlineStr">
        <is>
          <t>Date</t>
        </is>
      </c>
      <c r="K22" s="23" t="inlineStr">
        <is>
          <t>3_O003</t>
        </is>
      </c>
      <c r="L22" s="23" t="inlineStr">
        <is>
          <t>1_A008</t>
        </is>
      </c>
      <c r="M22" s="23" t="inlineStr">
        <is>
          <t>1_B008</t>
        </is>
      </c>
    </row>
    <row r="23">
      <c r="A23" s="35" t="inlineStr">
        <is>
          <t>C</t>
        </is>
      </c>
      <c r="B23" s="22" t="inlineStr">
        <is>
          <t>C1</t>
        </is>
      </c>
      <c r="C23" s="22" t="n">
        <v>1</v>
      </c>
      <c r="D23" s="23" t="inlineStr">
        <is>
          <t>1_A008</t>
        </is>
      </c>
      <c r="E23" s="23" t="inlineStr">
        <is>
          <t>4_C001</t>
        </is>
      </c>
      <c r="F23" s="23" t="inlineStr"/>
      <c r="G23" s="23" t="inlineStr"/>
      <c r="H23" s="22" t="inlineStr">
        <is>
          <t>1 : 2</t>
        </is>
      </c>
      <c r="I23" s="23" t="inlineStr">
        <is>
          <t>Reference Transaction Number</t>
        </is>
      </c>
      <c r="J23" s="23" t="inlineStr">
        <is>
          <t>Data Set Date</t>
        </is>
      </c>
      <c r="K23" s="23" t="inlineStr">
        <is>
          <t>4_C001</t>
        </is>
      </c>
      <c r="L23" s="23" t="inlineStr">
        <is>
          <t>1_A008</t>
        </is>
      </c>
      <c r="M23" s="23" t="inlineStr">
        <is>
          <t>(no 1_B — value match only)</t>
        </is>
      </c>
    </row>
    <row r="24">
      <c r="A24" s="35" t="inlineStr">
        <is>
          <t>C</t>
        </is>
      </c>
      <c r="B24" s="22" t="inlineStr">
        <is>
          <t>C1</t>
        </is>
      </c>
      <c r="C24" s="22" t="n">
        <v>2</v>
      </c>
      <c r="D24" s="23" t="inlineStr">
        <is>
          <t>1_A008</t>
        </is>
      </c>
      <c r="E24" s="23" t="inlineStr">
        <is>
          <t>4_C002</t>
        </is>
      </c>
      <c r="F24" s="23" t="inlineStr">
        <is>
          <t>4_C003</t>
        </is>
      </c>
      <c r="G24" s="23" t="inlineStr"/>
      <c r="H24" s="22" t="inlineStr">
        <is>
          <t>1 : 1 : 1</t>
        </is>
      </c>
      <c r="I24" s="23" t="inlineStr">
        <is>
          <t>Reference Transaction Number</t>
        </is>
      </c>
      <c r="J24" s="23" t="inlineStr">
        <is>
          <t>Data Set Date</t>
        </is>
      </c>
      <c r="K24" s="23" t="inlineStr">
        <is>
          <t>4_C002, 4_C003</t>
        </is>
      </c>
      <c r="L24" s="23" t="inlineStr">
        <is>
          <t>1_A008</t>
        </is>
      </c>
      <c r="M24" s="23" t="inlineStr">
        <is>
          <t>(no 1_B — value match only)</t>
        </is>
      </c>
    </row>
    <row r="25">
      <c r="A25" s="35" t="inlineStr">
        <is>
          <t>C</t>
        </is>
      </c>
      <c r="B25" s="22" t="inlineStr">
        <is>
          <t>C1</t>
        </is>
      </c>
      <c r="C25" s="22" t="n">
        <v>3</v>
      </c>
      <c r="D25" s="23" t="inlineStr">
        <is>
          <t>1_A008</t>
        </is>
      </c>
      <c r="E25" s="23" t="inlineStr">
        <is>
          <t>1_B008</t>
        </is>
      </c>
      <c r="F25" s="23" t="inlineStr"/>
      <c r="G25" s="23" t="inlineStr"/>
      <c r="H25" s="22" t="inlineStr">
        <is>
          <t>1 : n</t>
        </is>
      </c>
      <c r="I25" s="23" t="inlineStr">
        <is>
          <t>Reference Transaction Number</t>
        </is>
      </c>
      <c r="J25" s="23" t="inlineStr">
        <is>
          <t>Data Set Date</t>
        </is>
      </c>
      <c r="K25" s="23" t="inlineStr"/>
      <c r="L25" s="23" t="inlineStr">
        <is>
          <t>1_A008</t>
        </is>
      </c>
      <c r="M25" s="23" t="inlineStr">
        <is>
          <t>1_B008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30" customWidth="1" min="4" max="4"/>
    <col width="16" customWidth="1" min="5" max="5"/>
    <col width="30" customWidth="1" min="6" max="6"/>
  </cols>
  <sheetData>
    <row r="1" ht="26" customHeight="1">
      <c r="A1" s="1" t="inlineStr">
        <is>
          <t>SOURCE CONFIG  —  สรุปเฉพาะ Field ที่จำเป็นของแต่ละไฟล์ (จากชีท 3_DataSource)</t>
        </is>
      </c>
    </row>
    <row r="2" ht="30" customHeight="1">
      <c r="A2" s="2" t="inlineStr">
        <is>
          <t>แสดงเฉพาะ Flag = Y :  Date Filter (กรองตามวันที่)  +  Key Mapping (คีย์เชื่อม)  +  จำนวนคอลัมน์ที่ Select ไว้แสดงผล</t>
        </is>
      </c>
    </row>
    <row r="4" ht="28" customHeight="1">
      <c r="A4" s="21" t="inlineStr">
        <is>
          <t>Group</t>
        </is>
      </c>
      <c r="B4" s="21" t="inlineStr">
        <is>
          <t>Source / File</t>
        </is>
      </c>
      <c r="C4" s="21" t="inlineStr">
        <is>
          <t>Date Filter Column</t>
        </is>
      </c>
      <c r="D4" s="21" t="inlineStr">
        <is>
          <t>Key Mapping Column(s)</t>
        </is>
      </c>
      <c r="E4" s="21" t="inlineStr">
        <is>
          <t># Columns Selected</t>
        </is>
      </c>
      <c r="F4" s="21" t="inlineStr">
        <is>
          <t>Role in Reconcile</t>
        </is>
      </c>
    </row>
    <row r="5">
      <c r="A5" s="23" t="inlineStr">
        <is>
          <t>Database D</t>
        </is>
      </c>
      <c r="B5" s="23" t="inlineStr">
        <is>
          <t>2_D001</t>
        </is>
      </c>
      <c r="C5" s="23" t="inlineStr">
        <is>
          <t>TRADE_DATE</t>
        </is>
      </c>
      <c r="D5" s="23" t="inlineStr">
        <is>
          <t>TRADE_REF</t>
        </is>
      </c>
      <c r="E5" s="22" t="n">
        <v>15</v>
      </c>
      <c r="F5" s="23" t="inlineStr">
        <is>
          <t>ฐานข้อมูลต้นทาง (D)</t>
        </is>
      </c>
    </row>
    <row r="6">
      <c r="A6" s="23" t="inlineStr">
        <is>
          <t>Database D</t>
        </is>
      </c>
      <c r="B6" s="23" t="inlineStr">
        <is>
          <t>2_D002</t>
        </is>
      </c>
      <c r="C6" s="23" t="inlineStr">
        <is>
          <t>Data Set Date</t>
        </is>
      </c>
      <c r="D6" s="23" t="inlineStr">
        <is>
          <t>FI Arrangement Number</t>
        </is>
      </c>
      <c r="E6" s="22" t="n">
        <v>52</v>
      </c>
      <c r="F6" s="23" t="inlineStr">
        <is>
          <t>ฐานข้อมูลต้นทาง (D)</t>
        </is>
      </c>
    </row>
    <row r="7">
      <c r="A7" s="23" t="inlineStr">
        <is>
          <t>Database D</t>
        </is>
      </c>
      <c r="B7" s="23" t="inlineStr">
        <is>
          <t>2_D003</t>
        </is>
      </c>
      <c r="C7" s="23" t="inlineStr">
        <is>
          <t>Date</t>
        </is>
      </c>
      <c r="D7" s="23" t="inlineStr">
        <is>
          <t>Ref + CCY + Amount + CMF Code</t>
        </is>
      </c>
      <c r="E7" s="22" t="n">
        <v>8</v>
      </c>
      <c r="F7" s="23" t="inlineStr">
        <is>
          <t>ฐานข้อมูลต้นทาง (D)</t>
        </is>
      </c>
    </row>
    <row r="8">
      <c r="A8" s="23" t="inlineStr">
        <is>
          <t>Database D</t>
        </is>
      </c>
      <c r="B8" s="23" t="inlineStr">
        <is>
          <t>2_D004</t>
        </is>
      </c>
      <c r="C8" s="23" t="inlineStr">
        <is>
          <t>(none)</t>
        </is>
      </c>
      <c r="D8" s="23" t="inlineStr">
        <is>
          <t>(none)</t>
        </is>
      </c>
      <c r="E8" s="22" t="n">
        <v>5</v>
      </c>
      <c r="F8" s="23" t="inlineStr">
        <is>
          <t>ฐานข้อมูลต้นทาง (D)</t>
        </is>
      </c>
    </row>
    <row r="9">
      <c r="A9" s="23" t="inlineStr">
        <is>
          <t>Database D</t>
        </is>
      </c>
      <c r="B9" s="23" t="inlineStr">
        <is>
          <t>2_D005</t>
        </is>
      </c>
      <c r="C9" s="23" t="inlineStr">
        <is>
          <t>(none)</t>
        </is>
      </c>
      <c r="D9" s="23" t="inlineStr">
        <is>
          <t>(none)</t>
        </is>
      </c>
      <c r="E9" s="22" t="n">
        <v>5</v>
      </c>
      <c r="F9" s="23" t="inlineStr">
        <is>
          <t>ฐานข้อมูลต้นทาง (D)</t>
        </is>
      </c>
    </row>
    <row r="10">
      <c r="A10" s="23" t="inlineStr">
        <is>
          <t>Database O</t>
        </is>
      </c>
      <c r="B10" s="23" t="inlineStr">
        <is>
          <t>3_O001</t>
        </is>
      </c>
      <c r="C10" s="23" t="inlineStr">
        <is>
          <t>Arrangement Contract Date</t>
        </is>
      </c>
      <c r="D10" s="23" t="inlineStr">
        <is>
          <t>FI Arrangement Number</t>
        </is>
      </c>
      <c r="E10" s="22" t="n">
        <v>15</v>
      </c>
      <c r="F10" s="23" t="inlineStr">
        <is>
          <t>ฐานข้อมูลต้นทาง (O)</t>
        </is>
      </c>
    </row>
    <row r="11">
      <c r="A11" s="23" t="inlineStr">
        <is>
          <t>Database O</t>
        </is>
      </c>
      <c r="B11" s="23" t="inlineStr">
        <is>
          <t>3_O002</t>
        </is>
      </c>
      <c r="C11" s="23" t="inlineStr">
        <is>
          <t>(none)</t>
        </is>
      </c>
      <c r="D11" s="23" t="inlineStr">
        <is>
          <t>OptionNum</t>
        </is>
      </c>
      <c r="E11" s="22" t="n">
        <v>13</v>
      </c>
      <c r="F11" s="23" t="inlineStr">
        <is>
          <t>ฐานข้อมูลต้นทาง (O)</t>
        </is>
      </c>
    </row>
    <row r="12">
      <c r="A12" s="23" t="inlineStr">
        <is>
          <t>Database O</t>
        </is>
      </c>
      <c r="B12" s="23" t="inlineStr">
        <is>
          <t>3_O003</t>
        </is>
      </c>
      <c r="C12" s="23" t="inlineStr">
        <is>
          <t>Date</t>
        </is>
      </c>
      <c r="D12" s="23" t="inlineStr">
        <is>
          <t>CompositeOptSeqNum</t>
        </is>
      </c>
      <c r="E12" s="22" t="n">
        <v>6</v>
      </c>
      <c r="F12" s="23" t="inlineStr">
        <is>
          <t>ฐานข้อมูลต้นทาง (O)</t>
        </is>
      </c>
    </row>
    <row r="13">
      <c r="A13" s="23" t="inlineStr">
        <is>
          <t>Database C</t>
        </is>
      </c>
      <c r="B13" s="23" t="inlineStr">
        <is>
          <t>4_C001</t>
        </is>
      </c>
      <c r="C13" s="23" t="inlineStr">
        <is>
          <t>(none)</t>
        </is>
      </c>
      <c r="D13" s="23" t="inlineStr">
        <is>
          <t>Transaction No + DR/CR</t>
        </is>
      </c>
      <c r="E13" s="22" t="n">
        <v>0</v>
      </c>
      <c r="F13" s="23" t="inlineStr">
        <is>
          <t>ฐานข้อมูลต้นทาง (C)</t>
        </is>
      </c>
    </row>
    <row r="14">
      <c r="A14" s="23" t="inlineStr">
        <is>
          <t>Database C</t>
        </is>
      </c>
      <c r="B14" s="23" t="inlineStr">
        <is>
          <t>4_C002</t>
        </is>
      </c>
      <c r="C14" s="23" t="inlineStr">
        <is>
          <t>Settlement Date</t>
        </is>
      </c>
      <c r="D14" s="23" t="inlineStr">
        <is>
          <t>Ccy + Notional</t>
        </is>
      </c>
      <c r="E14" s="22" t="n">
        <v>2</v>
      </c>
      <c r="F14" s="23" t="inlineStr">
        <is>
          <t>ฐานข้อมูลต้นทาง (C)</t>
        </is>
      </c>
    </row>
    <row r="15">
      <c r="A15" s="23" t="inlineStr">
        <is>
          <t>Database C</t>
        </is>
      </c>
      <c r="B15" s="23" t="inlineStr">
        <is>
          <t>4_C003</t>
        </is>
      </c>
      <c r="C15" s="23" t="inlineStr">
        <is>
          <t>Settlement Date</t>
        </is>
      </c>
      <c r="D15" s="23" t="inlineStr">
        <is>
          <t>Currency + Accrued Int</t>
        </is>
      </c>
      <c r="E15" s="22" t="n">
        <v>2</v>
      </c>
      <c r="F15" s="23" t="inlineStr">
        <is>
          <t>ฐานข้อมูลต้นทาง (C)</t>
        </is>
      </c>
    </row>
    <row r="16">
      <c r="A16" s="23" t="inlineStr">
        <is>
          <t>A1_System (main)</t>
        </is>
      </c>
      <c r="B16" s="23" t="inlineStr">
        <is>
          <t>1_A001</t>
        </is>
      </c>
      <c r="C16" s="23" t="inlineStr">
        <is>
          <t>Data Set Date</t>
        </is>
      </c>
      <c r="D16" s="23" t="inlineStr">
        <is>
          <t>FI Arrangement Number</t>
        </is>
      </c>
      <c r="E16" s="22" t="n">
        <v>9</v>
      </c>
      <c r="F16" s="23" t="inlineStr">
        <is>
          <t>ระบบที่ตรวจ (ตรวจเกิน/ขาด)</t>
        </is>
      </c>
    </row>
    <row r="17">
      <c r="A17" s="23" t="inlineStr">
        <is>
          <t>A1_System (main)</t>
        </is>
      </c>
      <c r="B17" s="23" t="inlineStr">
        <is>
          <t>1_A002</t>
        </is>
      </c>
      <c r="C17" s="23" t="inlineStr">
        <is>
          <t>Data Set Date</t>
        </is>
      </c>
      <c r="D17" s="23" t="inlineStr">
        <is>
          <t>Arrangement Number</t>
        </is>
      </c>
      <c r="E17" s="22" t="n">
        <v>6</v>
      </c>
      <c r="F17" s="23" t="inlineStr">
        <is>
          <t>ระบบที่ตรวจ (ตรวจเกิน/ขาด)</t>
        </is>
      </c>
    </row>
    <row r="18">
      <c r="A18" s="23" t="inlineStr">
        <is>
          <t>A1_System (main)</t>
        </is>
      </c>
      <c r="B18" s="23" t="inlineStr">
        <is>
          <t>1_A003</t>
        </is>
      </c>
      <c r="C18" s="23" t="inlineStr">
        <is>
          <t>Data Set Date</t>
        </is>
      </c>
      <c r="D18" s="23" t="inlineStr">
        <is>
          <t>FI Arrangement Number</t>
        </is>
      </c>
      <c r="E18" s="22" t="n">
        <v>52</v>
      </c>
      <c r="F18" s="23" t="inlineStr">
        <is>
          <t>ระบบที่ตรวจ (ตรวจเกิน/ขาด)</t>
        </is>
      </c>
    </row>
    <row r="19">
      <c r="A19" s="23" t="inlineStr">
        <is>
          <t>A1_System (main)</t>
        </is>
      </c>
      <c r="B19" s="23" t="inlineStr">
        <is>
          <t>1_A004</t>
        </is>
      </c>
      <c r="C19" s="23" t="inlineStr">
        <is>
          <t>Data Set Date</t>
        </is>
      </c>
      <c r="D19" s="23" t="inlineStr">
        <is>
          <t>Arr Number</t>
        </is>
      </c>
      <c r="E19" s="22" t="n">
        <v>6</v>
      </c>
      <c r="F19" s="23" t="inlineStr">
        <is>
          <t>ระบบที่ตรวจ (ตรวจเกิน/ขาด)</t>
        </is>
      </c>
    </row>
    <row r="20">
      <c r="A20" s="23" t="inlineStr">
        <is>
          <t>A1_System (main)</t>
        </is>
      </c>
      <c r="B20" s="23" t="inlineStr">
        <is>
          <t>1_A005</t>
        </is>
      </c>
      <c r="C20" s="23" t="inlineStr">
        <is>
          <t>Data Set Date</t>
        </is>
      </c>
      <c r="D20" s="23" t="inlineStr">
        <is>
          <t>FI Arrangement Number</t>
        </is>
      </c>
      <c r="E20" s="22" t="n">
        <v>9</v>
      </c>
      <c r="F20" s="23" t="inlineStr">
        <is>
          <t>ระบบที่ตรวจ (ตรวจเกิน/ขาด)</t>
        </is>
      </c>
    </row>
    <row r="21">
      <c r="A21" s="23" t="inlineStr">
        <is>
          <t>A1_System (main)</t>
        </is>
      </c>
      <c r="B21" s="23" t="inlineStr">
        <is>
          <t>1_A006</t>
        </is>
      </c>
      <c r="C21" s="23" t="inlineStr">
        <is>
          <t>Data Set Date</t>
        </is>
      </c>
      <c r="D21" s="23" t="inlineStr">
        <is>
          <t>FI Arrangement Number</t>
        </is>
      </c>
      <c r="E21" s="22" t="n">
        <v>5</v>
      </c>
      <c r="F21" s="23" t="inlineStr">
        <is>
          <t>ระบบที่ตรวจ (ตรวจเกิน/ขาด)</t>
        </is>
      </c>
    </row>
    <row r="22">
      <c r="A22" s="23" t="inlineStr">
        <is>
          <t>A1_System (main)</t>
        </is>
      </c>
      <c r="B22" s="23" t="inlineStr">
        <is>
          <t>1_A007</t>
        </is>
      </c>
      <c r="C22" s="23" t="inlineStr">
        <is>
          <t>Data Set Date</t>
        </is>
      </c>
      <c r="D22" s="23" t="inlineStr">
        <is>
          <t>FI Arrangement Number</t>
        </is>
      </c>
      <c r="E22" s="22" t="n">
        <v>6</v>
      </c>
      <c r="F22" s="23" t="inlineStr">
        <is>
          <t>ระบบที่ตรวจ (ตรวจเกิน/ขาด)</t>
        </is>
      </c>
    </row>
    <row r="23">
      <c r="A23" s="23" t="inlineStr">
        <is>
          <t>A1_System (main)</t>
        </is>
      </c>
      <c r="B23" s="23" t="inlineStr">
        <is>
          <t>1_A008</t>
        </is>
      </c>
      <c r="C23" s="23" t="inlineStr">
        <is>
          <t>Data Set Date</t>
        </is>
      </c>
      <c r="D23" s="23" t="inlineStr">
        <is>
          <t>Reference Transaction Number</t>
        </is>
      </c>
      <c r="E23" s="22" t="n">
        <v>6</v>
      </c>
      <c r="F23" s="23" t="inlineStr">
        <is>
          <t>ระบบที่ตรวจ (ตรวจเกิน/ขาด)</t>
        </is>
      </c>
    </row>
    <row r="24">
      <c r="A24" s="23" t="inlineStr">
        <is>
          <t>A1_System (main)</t>
        </is>
      </c>
      <c r="B24" s="23" t="inlineStr">
        <is>
          <t>1_A009</t>
        </is>
      </c>
      <c r="C24" s="23" t="inlineStr">
        <is>
          <t>Data Set Date</t>
        </is>
      </c>
      <c r="D24" s="23" t="inlineStr">
        <is>
          <t>FI Arrangement Number + CMF CODE</t>
        </is>
      </c>
      <c r="E24" s="22" t="n">
        <v>12</v>
      </c>
      <c r="F24" s="23" t="inlineStr">
        <is>
          <t>ระบบที่ตรวจ (ตรวจเกิน/ขาด)</t>
        </is>
      </c>
    </row>
    <row r="25">
      <c r="A25" s="23" t="inlineStr">
        <is>
          <t>A1_System (ERROR output)</t>
        </is>
      </c>
      <c r="B25" s="36" t="inlineStr">
        <is>
          <t>1_B001</t>
        </is>
      </c>
      <c r="C25" s="23" t="inlineStr">
        <is>
          <t>(none)</t>
        </is>
      </c>
      <c r="D25" s="23" t="inlineStr">
        <is>
          <t>Arrangement Number</t>
        </is>
      </c>
      <c r="E25" s="22" t="n">
        <v>2</v>
      </c>
      <c r="F25" s="23" t="inlineStr">
        <is>
          <t>ไฟล์ผลลัพธ์ ERROR (key+message)</t>
        </is>
      </c>
    </row>
    <row r="26">
      <c r="A26" s="23" t="inlineStr">
        <is>
          <t>A1_System (ERROR output)</t>
        </is>
      </c>
      <c r="B26" s="36" t="inlineStr">
        <is>
          <t>1_B002</t>
        </is>
      </c>
      <c r="C26" s="23" t="inlineStr">
        <is>
          <t>(none)</t>
        </is>
      </c>
      <c r="D26" s="23" t="inlineStr">
        <is>
          <t>Fi Arrangement Number</t>
        </is>
      </c>
      <c r="E26" s="22" t="n">
        <v>2</v>
      </c>
      <c r="F26" s="23" t="inlineStr">
        <is>
          <t>ไฟล์ผลลัพธ์ ERROR (key+message)</t>
        </is>
      </c>
    </row>
    <row r="27">
      <c r="A27" s="23" t="inlineStr">
        <is>
          <t>A1_System (ERROR output)</t>
        </is>
      </c>
      <c r="B27" s="36" t="inlineStr">
        <is>
          <t>1_B003</t>
        </is>
      </c>
      <c r="C27" s="23" t="inlineStr">
        <is>
          <t>(none)</t>
        </is>
      </c>
      <c r="D27" s="23" t="inlineStr">
        <is>
          <t>Fi Arrangement Number</t>
        </is>
      </c>
      <c r="E27" s="22" t="n">
        <v>2</v>
      </c>
      <c r="F27" s="23" t="inlineStr">
        <is>
          <t>ไฟล์ผลลัพธ์ ERROR (key+message)</t>
        </is>
      </c>
    </row>
    <row r="28">
      <c r="A28" s="23" t="inlineStr">
        <is>
          <t>A1_System (ERROR output)</t>
        </is>
      </c>
      <c r="B28" s="36" t="inlineStr">
        <is>
          <t>1_B004</t>
        </is>
      </c>
      <c r="C28" s="23" t="inlineStr">
        <is>
          <t>(none)</t>
        </is>
      </c>
      <c r="D28" s="23" t="inlineStr">
        <is>
          <t>Arrangement Number</t>
        </is>
      </c>
      <c r="E28" s="22" t="n">
        <v>2</v>
      </c>
      <c r="F28" s="23" t="inlineStr">
        <is>
          <t>ไฟล์ผลลัพธ์ ERROR (key+message)</t>
        </is>
      </c>
    </row>
    <row r="29">
      <c r="A29" s="23" t="inlineStr">
        <is>
          <t>A1_System (ERROR output)</t>
        </is>
      </c>
      <c r="B29" s="36" t="inlineStr">
        <is>
          <t>1_B005</t>
        </is>
      </c>
      <c r="C29" s="23" t="inlineStr">
        <is>
          <t>(none)</t>
        </is>
      </c>
      <c r="D29" s="23" t="inlineStr">
        <is>
          <t>Fi Arrangement Number</t>
        </is>
      </c>
      <c r="E29" s="22" t="n">
        <v>2</v>
      </c>
      <c r="F29" s="23" t="inlineStr">
        <is>
          <t>ไฟล์ผลลัพธ์ ERROR (key+message)</t>
        </is>
      </c>
    </row>
    <row r="30">
      <c r="A30" s="23" t="inlineStr">
        <is>
          <t>A1_System (ERROR output)</t>
        </is>
      </c>
      <c r="B30" s="36" t="inlineStr">
        <is>
          <t>1_B006</t>
        </is>
      </c>
      <c r="C30" s="23" t="inlineStr">
        <is>
          <t>(none)</t>
        </is>
      </c>
      <c r="D30" s="23" t="inlineStr">
        <is>
          <t>Fi Arrangement Number</t>
        </is>
      </c>
      <c r="E30" s="22" t="n">
        <v>2</v>
      </c>
      <c r="F30" s="23" t="inlineStr">
        <is>
          <t>ไฟล์ผลลัพธ์ ERROR (key+message)</t>
        </is>
      </c>
    </row>
    <row r="31">
      <c r="A31" s="23" t="inlineStr">
        <is>
          <t>A1_System (ERROR output)</t>
        </is>
      </c>
      <c r="B31" s="36" t="inlineStr">
        <is>
          <t>1_B007</t>
        </is>
      </c>
      <c r="C31" s="23" t="inlineStr">
        <is>
          <t>(none)</t>
        </is>
      </c>
      <c r="D31" s="23" t="inlineStr">
        <is>
          <t>Fi Arrangement Number</t>
        </is>
      </c>
      <c r="E31" s="22" t="n">
        <v>2</v>
      </c>
      <c r="F31" s="23" t="inlineStr">
        <is>
          <t>ไฟล์ผลลัพธ์ ERROR (key+message)</t>
        </is>
      </c>
    </row>
    <row r="32">
      <c r="A32" s="23" t="inlineStr">
        <is>
          <t>A1_System (ERROR output)</t>
        </is>
      </c>
      <c r="B32" s="36" t="inlineStr">
        <is>
          <t>1_B008</t>
        </is>
      </c>
      <c r="C32" s="23" t="inlineStr">
        <is>
          <t>(none)</t>
        </is>
      </c>
      <c r="D32" s="23" t="inlineStr">
        <is>
          <t>Ref.No.</t>
        </is>
      </c>
      <c r="E32" s="22" t="n">
        <v>2</v>
      </c>
      <c r="F32" s="23" t="inlineStr">
        <is>
          <t>ไฟล์ผลลัพธ์ ERROR (key+message)</t>
        </is>
      </c>
    </row>
    <row r="33">
      <c r="A33" s="23" t="inlineStr">
        <is>
          <t>A1_System (ERROR output)</t>
        </is>
      </c>
      <c r="B33" s="36" t="inlineStr">
        <is>
          <t>1_B009</t>
        </is>
      </c>
      <c r="C33" s="23" t="inlineStr">
        <is>
          <t>(none)</t>
        </is>
      </c>
      <c r="D33" s="23" t="inlineStr">
        <is>
          <t>Fi Arrangement Number</t>
        </is>
      </c>
      <c r="E33" s="22" t="n">
        <v>2</v>
      </c>
      <c r="F33" s="23" t="inlineStr">
        <is>
          <t>ไฟล์ผลลัพธ์ ERROR (key+message)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2" customWidth="1" min="3" max="3"/>
    <col width="40" customWidth="1" min="4" max="4"/>
  </cols>
  <sheetData>
    <row r="1" ht="26" customHeight="1">
      <c r="A1" s="1" t="inlineStr">
        <is>
          <t>OPEN QUESTIONS  —  จุดที่ต้องการข้อมูลเพิ่มเพื่อทำเวอร์ชันจริง</t>
        </is>
      </c>
    </row>
    <row r="2" ht="30" customHeight="1">
      <c r="A2" s="2" t="inlineStr">
        <is>
          <t>Prototype ตั้งสมมุติฐานไว้ตามด้านล่าง โปรดยืนยัน/แก้ไข เพื่อพัฒนาเป็น Production tool</t>
        </is>
      </c>
    </row>
    <row r="4" ht="28" customHeight="1">
      <c r="A4" s="21" t="inlineStr"/>
      <c r="B4" s="21" t="inlineStr">
        <is>
          <t>#</t>
        </is>
      </c>
      <c r="C4" s="21" t="inlineStr">
        <is>
          <t>คำถาม / ประเด็น</t>
        </is>
      </c>
      <c r="D4" s="21" t="inlineStr">
        <is>
          <t>สมมุติฐานปัจจุบันใน Prototype</t>
        </is>
      </c>
    </row>
    <row r="5" ht="46" customHeight="1">
      <c r="B5" s="24" t="inlineStr">
        <is>
          <t>1</t>
        </is>
      </c>
      <c r="C5" s="19" t="inlineStr">
        <is>
          <t>Key Mapping ข้ามไฟล์: DB ใช้คีย์ของตัวเอง (เช่น TRADE_REF, OptionNum) แต่ A1 ใช้ FI Arrangement Number — มีตารางแปลงคีย์ (translation) หรือถือว่าเป็นค่าเดียวกัน?</t>
        </is>
      </c>
      <c r="D5" s="37" t="inlineStr">
        <is>
          <t>สมมุติว่าเป็นคีย์ธุรกิจเดียวกัน (TRADE_REF = FI Arrangement No.)</t>
        </is>
      </c>
    </row>
    <row r="6" ht="46" customHeight="1">
      <c r="B6" s="24" t="inlineStr">
        <is>
          <t>2</t>
        </is>
      </c>
      <c r="C6" s="19" t="inlineStr">
        <is>
          <t>Cardinality (Trans.Map เช่น 1:1:n, 1:n:n): ฝั่ง 'n' ต้องรวมยอด (SUM) แล้วเทียบ หรือเทียบรายบรรทัด?</t>
        </is>
      </c>
      <c r="D6" s="37" t="inlineStr">
        <is>
          <t>สมมุติ: รวมยอด (SUMIF) ตามคีย์แล้วเทียบ</t>
        </is>
      </c>
    </row>
    <row r="7" ht="46" customHeight="1">
      <c r="B7" s="24" t="inlineStr">
        <is>
          <t>3</t>
        </is>
      </c>
      <c r="C7" s="19" t="inlineStr">
        <is>
          <t>ตรวจแค่การมีอยู่ของรายการ (existence) หรือเทียบค่าด้วย? ถ้าเทียบค่า ใช้ field ใด (Amount/Notional/...)?</t>
        </is>
      </c>
      <c r="D7" s="37" t="inlineStr">
        <is>
          <t>เทียบทั้ง existence + จำนวนเงิน 1 field</t>
        </is>
      </c>
    </row>
    <row r="8" ht="46" customHeight="1">
      <c r="B8" s="24" t="inlineStr">
        <is>
          <t>4</t>
        </is>
      </c>
      <c r="C8" s="19" t="inlineStr">
        <is>
          <t>วันที่ตรวจ: ใช้วันที่เดียว (เป๊ะ) หรือช่วงวันที่? และแต่ละไฟล์ใช้คอลัมน์วันที่ต่างกัน ถูกต้องไหม?</t>
        </is>
      </c>
      <c r="D8" s="37" t="inlineStr">
        <is>
          <t>วันที่เดียว = ChkDate, map คอลัมน์ตาม Source_Config</t>
        </is>
      </c>
    </row>
    <row r="9" ht="46" customHeight="1">
      <c r="B9" s="24" t="inlineStr">
        <is>
          <t>5</t>
        </is>
      </c>
      <c r="C9" s="19" t="inlineStr">
        <is>
          <t>ไฟล์ผลลัพธ์ 1_Bxxx: ให้เครื่องมือ 'เขียน' ERROR Message กลับไปไฟล์เหล่านี้เลยไหม หรือแค่แสดงในรายงาน?</t>
        </is>
      </c>
      <c r="D9" s="37" t="inlineStr">
        <is>
          <t>Prototype แสดงในรายงาน (คอลัมน์ ERROR Message)</t>
        </is>
      </c>
    </row>
    <row r="10" ht="46" customHeight="1">
      <c r="B10" s="24" t="inlineStr">
        <is>
          <t>6</t>
        </is>
      </c>
      <c r="C10" s="19" t="inlineStr">
        <is>
          <t>Chain ที่ยาว 3-4 ขั้น (เช่น D2-5, O1-3): ตรวจแบบ end-to-end (ต้นทาง↔ปลายทาง) หรือทีละคู่ต่อขั้น?</t>
        </is>
      </c>
      <c r="D10" s="37" t="inlineStr">
        <is>
          <t>ยังไม่ทำใน prototype — รอแนวทาง</t>
        </is>
      </c>
    </row>
    <row r="11" ht="46" customHeight="1">
      <c r="B11" s="24" t="inlineStr">
        <is>
          <t>7</t>
        </is>
      </c>
      <c r="C11" s="19" t="inlineStr">
        <is>
          <t>Product C (1_A008 ⇄ 4_C0xx) ใช้คีย์ผสม (Ccy+Notional / Transaction No+DR/CR) — ยืนยัน logic การ match</t>
        </is>
      </c>
      <c r="D11" s="37" t="inlineStr">
        <is>
          <t>รอตัวอย่างข้อมูลจริง</t>
        </is>
      </c>
    </row>
    <row r="12" ht="46" customHeight="1">
      <c r="B12" s="24" t="inlineStr">
        <is>
          <t>8</t>
        </is>
      </c>
      <c r="C12" s="19" t="inlineStr">
        <is>
          <t>มีข้อมูลตัวอย่างจริง (ไฟล์ใดไฟล์หนึ่ง) ให้ลองได้ไหม เพื่อ map คอลัมน์ให้ตรง</t>
        </is>
      </c>
      <c r="D12" s="37" t="inlineStr">
        <is>
          <t>ใช้ข้อมูลจำลองใน Sample_Data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2026-06-08T08:40:11Z</dcterms:created>
  <dcterms:modified xsi:type="dcterms:W3CDTF">2026-06-08T08:40:11Z</dcterms:modified>
</cp:coreProperties>
</file>