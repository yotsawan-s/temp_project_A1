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trol_Panel" sheetId="2" state="visible" r:id="rId2"/>
    <sheet name="Recon_Summary" sheetId="3" state="visible" r:id="rId3"/>
    <sheet name="Recon_Rules" sheetId="4" state="visible" r:id="rId4"/>
    <sheet name="Mapping_Steps" sheetId="5" state="visible" r:id="rId5"/>
    <sheet name="Recon_Detail" sheetId="6" state="visible" r:id="rId6"/>
    <sheet name="Sample_Data" sheetId="7" state="visible" r:id="rId7"/>
    <sheet name="Field_Format" sheetId="8" state="visible" r:id="rId8"/>
    <sheet name="Map_Config" sheetId="9" state="visible" r:id="rId9"/>
    <sheet name="Source_Config" sheetId="10" state="visible" r:id="rId10"/>
    <sheet name="Open_Questions" sheetId="11" state="visible" r:id="rId11"/>
  </sheets>
  <definedNames>
    <definedName name="ChkDate">Control_Panel!$C$5</definedName>
    <definedName name="Tol">Control_Panel!$C$8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808080"/>
      <sz val="10"/>
    </font>
    <font>
      <name val="Arial"/>
      <b val="1"/>
      <color rgb="001F3864"/>
      <sz val="9"/>
    </font>
    <font>
      <name val="Arial"/>
      <color rgb="009C5700"/>
      <sz val="10"/>
    </font>
    <font>
      <name val="Arial"/>
      <color rgb="009C0006"/>
      <sz val="10"/>
    </font>
    <font>
      <name val="Arial"/>
      <b val="1"/>
      <color rgb="002E75B6"/>
      <sz val="10"/>
    </font>
    <font>
      <name val="Arial"/>
      <b val="1"/>
      <color rgb="00538135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538135"/>
      </patternFill>
    </fill>
    <fill>
      <patternFill patternType="solid">
        <fgColor rgb="00A9D08E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/>
    </xf>
    <xf numFmtId="0" fontId="9" fillId="13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1" t="inlineStr">
        <is>
          <t>PART RECONCILE  —  BOT Reconciliation Tool  (Prototype v0.2)</t>
        </is>
      </c>
    </row>
    <row r="2" ht="34" customHeight="1">
      <c r="A2" s="2" t="inlineStr">
        <is>
          <t>ตรวจ Transaction ของ A1_System (1_A / 1_B) เทียบ Product Database (D/O/C) ครบถ้วน-ถูกต้อง ตาม Data Transaction Date  |  v0.2: ครบ 21 Sets + Key Prep + 3 Match Patterns + เทียบ CCY/Amount/Date</t>
        </is>
      </c>
    </row>
    <row r="4">
      <c r="B4" s="3" t="inlineStr">
        <is>
          <t>1)  การ Reconcile 2 มุมมอง (ต่อ 1 Match Key)</t>
        </is>
      </c>
    </row>
    <row r="5">
      <c r="B5" s="4" t="inlineStr">
        <is>
          <t xml:space="preserve">    • มุม1  A1→DB : มีใน A1 แต่ไม่มีใน Database = EXTRA in A1 (บันทึกเกิน)</t>
        </is>
      </c>
    </row>
    <row r="6">
      <c r="B6" s="4" t="inlineStr">
        <is>
          <t xml:space="preserve">    • มุม2  DB→A1 : มีใน Database แต่ไม่มีใน A1 = MISSING in A1 (บันทึกขาด)</t>
        </is>
      </c>
    </row>
    <row r="7">
      <c r="B7" s="4" t="inlineStr">
        <is>
          <t xml:space="preserve">    • Key ตรงกันทั้งคู่ → เทียบ Compare Fields (CCY + Amount + Date) ถ้าต่าง = AMOUNT/VALUE MISMATCH</t>
        </is>
      </c>
    </row>
    <row r="8">
      <c r="B8" s="4" t="inlineStr">
        <is>
          <t xml:space="preserve">    • ไม่รวมยอด (no SUM) — จับคู่รายบรรทัดด้วย Match Key | ผลลัพธ์ ERROR ผูกกับ Key → นำกลับไปแก้ที่ A1_System (ไฟล์ 1_Bxxx)</t>
        </is>
      </c>
    </row>
    <row r="10">
      <c r="B10" s="3" t="inlineStr">
        <is>
          <t>1.5)  กระบวนการ Mapping มาตรฐาน 4 Step (ต่อคู่ Main ⇄ Map File — ดูชีท Mapping_Steps)</t>
        </is>
      </c>
    </row>
    <row r="11">
      <c r="B11" s="4" t="inlineStr">
        <is>
          <t xml:space="preserve">    Step1 Filter (กรองแถว) → Step2 Key Map (สร้างคีย์ Ref+อื่นๆ) → Step3 Reconcile (เทียบ Date/CCY/Amount) → Step4 Result(Main)/Return(Map→1_B)</t>
        </is>
      </c>
    </row>
    <row r="12">
      <c r="B12" s="4" t="inlineStr">
        <is>
          <t xml:space="preserve">    แต่ละ Set = Main (Source#1) เทียบกับ Map File #1..#n ทีละคู่</t>
        </is>
      </c>
    </row>
    <row r="14">
      <c r="B14" s="3" t="inlineStr">
        <is>
          <t>2)  Match Patterns 3 แบบ (กำหนดต่อ Set ในชีท Recon_Rules)</t>
        </is>
      </c>
    </row>
    <row r="15">
      <c r="B15" s="4" t="inlineStr">
        <is>
          <t xml:space="preserve">    แบบ 1  Direct map         : จับคู่ตรงด้วย Match Key แล้วเทียบ Compare Fields</t>
        </is>
      </c>
    </row>
    <row r="16">
      <c r="B16" s="4" t="inlineStr">
        <is>
          <t xml:space="preserve">    แบบ 2  Direct + Condition : กรองเงื่อนไขก่อน (เช่น Product/Transaction Type, Settle status) แล้วจึงจับคู่</t>
        </is>
      </c>
    </row>
    <row r="17">
      <c r="B17" s="4" t="inlineStr">
        <is>
          <t xml:space="preserve">    แบบ 3  Map + Back-check   : จับคู่ผ่านสายโซ่ แล้วย้อนกลับไปตรวจ Main Source (สำหรับ chain 3-4 ขั้น)</t>
        </is>
      </c>
    </row>
    <row r="19">
      <c r="B19" s="3" t="inlineStr">
        <is>
          <t>3)  Key Prep (เตรียมคีย์ก่อน mapping) — DSL ในชีท Recon_Rules</t>
        </is>
      </c>
    </row>
    <row r="20">
      <c r="B20" s="4" t="inlineStr">
        <is>
          <t xml:space="preserve">    AS_IS  |  LEFT(n) | RIGHT(n) | MID(start,len) | AFTER("x") | BEFORE("x") | REGEX("pattern") | CONCAT(f1,f2)</t>
        </is>
      </c>
    </row>
    <row r="21">
      <c r="B21" s="4" t="inlineStr">
        <is>
          <t xml:space="preserve">    ตัวอย่าง: คีย์ดิบ "KT20260530C0001"  →  REGEX("C\d+")  →  "C0001"  (ใช้จับคู่กับ Database)</t>
        </is>
      </c>
    </row>
    <row r="23">
      <c r="B23" s="3" t="inlineStr">
        <is>
          <t>4)  Match Key forms (ฝั่ง n ไม่รวมยอด)</t>
        </is>
      </c>
    </row>
    <row r="24">
      <c r="B24" s="4" t="inlineStr">
        <is>
          <t xml:space="preserve">    Ref อย่างเดียว  |  Ref + CCY + Amount  |  Ref + Type + CCY + Amount   (เลือกต่อ Set)</t>
        </is>
      </c>
    </row>
    <row r="26">
      <c r="B26" s="3" t="inlineStr">
        <is>
          <t>4.5)  Normalize ค่า Date &amp; Number ก่อนเทียบ (ชีท Field_Format)</t>
        </is>
      </c>
    </row>
    <row r="27">
      <c r="B27" s="4" t="inlineStr">
        <is>
          <t xml:space="preserve">    • Date: แต่ละ Source อาจเก็บคนละ format (DATE / NUMBER:yyyymmdd / TEXT:dd/mm/yyyy / TEXT:dd-mmm-yy ฯลฯ)</t>
        </is>
      </c>
    </row>
    <row r="28">
      <c r="B28" s="4" t="inlineStr">
        <is>
          <t xml:space="preserve">            → Engine แปลงเป็น canonical ISO (yyyy-mm-dd) ก่อนเทียบ, Tool แสดงผลเป็น dd/mm/yyyy</t>
        </is>
      </c>
    </row>
    <row r="29">
      <c r="B29" s="4" t="inlineStr">
        <is>
          <t xml:space="preserve">    • Number: ตัดเครื่องหมาย/แปลง sign ก่อนเทียบ เช่น -100 → ABS=100 , หรือ SIGN_BY("DR/CR") , "(100)"→-100</t>
        </is>
      </c>
    </row>
    <row r="31">
      <c r="B31" s="3" t="inlineStr">
        <is>
          <t>5)  วิธีใช้</t>
        </is>
      </c>
    </row>
    <row r="32">
      <c r="B32" s="4" t="inlineStr">
        <is>
          <t xml:space="preserve">    Control_Panel (กรอกเหลือง) → Recon_Rules (กำหนด logic ต่อ Set) → Sample_Data (จำลอง) → Recon_Detail (ผลรายบรรทัด) → Recon_Summary (Dashboard 21 Sets)</t>
        </is>
      </c>
    </row>
    <row r="34">
      <c r="B34" s="3" t="inlineStr">
        <is>
          <t>6)  คำอธิบายสี (Legend)</t>
        </is>
      </c>
    </row>
    <row r="35">
      <c r="B35" s="5" t="inlineStr">
        <is>
          <t>  </t>
        </is>
      </c>
      <c r="C35" s="6" t="inlineStr">
        <is>
          <t>ช่องกรอก/แก้ไข (Input/Config)</t>
        </is>
      </c>
    </row>
    <row r="36">
      <c r="B36" s="7" t="inlineStr">
        <is>
          <t>  </t>
        </is>
      </c>
      <c r="C36" s="8" t="inlineStr">
        <is>
          <t>OK / ตรงกัน</t>
        </is>
      </c>
    </row>
    <row r="37">
      <c r="B37" s="9" t="inlineStr">
        <is>
          <t>  </t>
        </is>
      </c>
      <c r="C37" s="10" t="inlineStr">
        <is>
          <t>MISSING in A1 (บันทึกขาด)</t>
        </is>
      </c>
    </row>
    <row r="38">
      <c r="B38" s="9" t="inlineStr">
        <is>
          <t>  </t>
        </is>
      </c>
      <c r="C38" s="10" t="inlineStr">
        <is>
          <t>EXTRA in A1 (บันทึกเกิน)</t>
        </is>
      </c>
    </row>
    <row r="39">
      <c r="B39" s="11" t="inlineStr">
        <is>
          <t>  </t>
        </is>
      </c>
      <c r="C39" s="12" t="inlineStr">
        <is>
          <t>VALUE MISMATCH (ค่าไม่ตรง)</t>
        </is>
      </c>
    </row>
  </sheetData>
  <mergeCells count="26">
    <mergeCell ref="B4:F4"/>
    <mergeCell ref="B7:F7"/>
    <mergeCell ref="B16:F16"/>
    <mergeCell ref="B31:F31"/>
    <mergeCell ref="B27:F27"/>
    <mergeCell ref="B21:F21"/>
    <mergeCell ref="A2:F2"/>
    <mergeCell ref="B12:F12"/>
    <mergeCell ref="B11:F11"/>
    <mergeCell ref="B23:F23"/>
    <mergeCell ref="B14:F14"/>
    <mergeCell ref="B8:F8"/>
    <mergeCell ref="B17:F17"/>
    <mergeCell ref="B29:F29"/>
    <mergeCell ref="B34:F34"/>
    <mergeCell ref="B10:F10"/>
    <mergeCell ref="B28:F28"/>
    <mergeCell ref="B19:F19"/>
    <mergeCell ref="B6:F6"/>
    <mergeCell ref="B24:F24"/>
    <mergeCell ref="B20:F20"/>
    <mergeCell ref="B15:F15"/>
    <mergeCell ref="A1:F1"/>
    <mergeCell ref="B5:F5"/>
    <mergeCell ref="B32:F3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42" customWidth="1" min="4" max="4"/>
  </cols>
  <sheetData>
    <row r="1" ht="26" customHeight="1">
      <c r="A1" s="1" t="inlineStr">
        <is>
          <t>CONTROL PANEL  —  พารามิเตอร์การรัน</t>
        </is>
      </c>
    </row>
    <row r="2" ht="34" customHeight="1">
      <c r="A2" s="2" t="inlineStr">
        <is>
          <t>กรอกช่องสีเหลือง — ใช้เป็นตัวกรอง Col.Filter (วันที่/หน่วยงาน) ของทุกไฟล์</t>
        </is>
      </c>
    </row>
    <row r="4">
      <c r="B4" s="13" t="inlineStr">
        <is>
          <t>พารามิเตอร์</t>
        </is>
      </c>
      <c r="C4" s="14" t="inlineStr">
        <is>
          <t>ค่า (กรอก)</t>
        </is>
      </c>
      <c r="D4" s="13" t="inlineStr">
        <is>
          <t>คำอธิบาย</t>
        </is>
      </c>
    </row>
    <row r="5">
      <c r="B5" s="15" t="inlineStr">
        <is>
          <t>Data Transaction Date</t>
        </is>
      </c>
      <c r="C5" s="16" t="inlineStr">
        <is>
          <t>2026-05-30</t>
        </is>
      </c>
      <c r="D5" s="17" t="inlineStr">
        <is>
          <t>วันที่ Transaction ที่ตรวจ (Data Set Date/TRADE_DATE/Settlement Date/Date)</t>
        </is>
      </c>
    </row>
    <row r="6">
      <c r="B6" s="15" t="inlineStr">
        <is>
          <t>Department Code</t>
        </is>
      </c>
      <c r="C6" s="16" t="inlineStr">
        <is>
          <t>0123</t>
        </is>
      </c>
      <c r="D6" s="17" t="inlineStr">
        <is>
          <t>รหัสหน่วยงาน (Dept Code/DEPT CODE)</t>
        </is>
      </c>
    </row>
    <row r="7">
      <c r="B7" s="15" t="inlineStr">
        <is>
          <t>Product to run</t>
        </is>
      </c>
      <c r="C7" s="16" t="inlineStr">
        <is>
          <t>ALL</t>
        </is>
      </c>
      <c r="D7" s="17" t="inlineStr">
        <is>
          <t>D / O / C / ALL</t>
        </is>
      </c>
    </row>
    <row r="8">
      <c r="B8" s="15" t="inlineStr">
        <is>
          <t>Amount tolerance</t>
        </is>
      </c>
      <c r="C8" s="16" t="inlineStr">
        <is>
          <t>0</t>
        </is>
      </c>
      <c r="D8" s="17" t="inlineStr">
        <is>
          <t>ผลต่างจำนวนเงินที่ยอมรับ (0 = ตรงเป๊ะ)</t>
        </is>
      </c>
    </row>
    <row r="10">
      <c r="B10" s="3" t="inlineStr">
        <is>
          <t>สถานะรวม (ดู Recon_Summary)</t>
        </is>
      </c>
    </row>
    <row r="11">
      <c r="B11" s="15" t="inlineStr">
        <is>
          <t>จำนวน Set ที่พบ Error</t>
        </is>
      </c>
      <c r="C11" s="18">
        <f>COUNTIF(Recon_Summary!$I$5:$I$25,"ERROR*")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38" customWidth="1" min="4" max="4"/>
    <col width="13" customWidth="1" min="5" max="5"/>
    <col width="15" customWidth="1" min="6" max="6"/>
    <col width="13" customWidth="1" min="7" max="7"/>
    <col width="12" customWidth="1" min="8" max="8"/>
    <col width="15" customWidth="1" min="9" max="9"/>
    <col width="18" customWidth="1" min="10" max="10"/>
  </cols>
  <sheetData>
    <row r="1" ht="26" customHeight="1">
      <c r="A1" s="1" t="inlineStr">
        <is>
          <t>RECON SUMMARY  —  Dashboard สรุปทุก Set (21 Sets)</t>
        </is>
      </c>
    </row>
    <row r="2" ht="34" customHeight="1">
      <c r="A2" s="2" t="inlineStr">
        <is>
          <t>หนึ่งแถว/Set | สีแดง = พบ Error ต้องแก้ | Pattern = วิธีจับคู่ | Set D1-1 คำนวณสดจาก Sample_Data, Set อื่น = Pending (รอโหลดข้อมูล)</t>
        </is>
      </c>
    </row>
    <row r="4" ht="30" customHeight="1">
      <c r="A4" s="19" t="inlineStr">
        <is>
          <t>Product</t>
        </is>
      </c>
      <c r="B4" s="19" t="inlineStr">
        <is>
          <t>Cat</t>
        </is>
      </c>
      <c r="C4" s="19" t="inlineStr">
        <is>
          <t>Set</t>
        </is>
      </c>
      <c r="D4" s="19" t="inlineStr">
        <is>
          <t>Chain (Database ⇄ A1_System)</t>
        </is>
      </c>
      <c r="E4" s="19" t="inlineStr">
        <is>
          <t>Trans.Map</t>
        </is>
      </c>
      <c r="F4" s="19" t="inlineStr">
        <is>
          <t>Pattern</t>
        </is>
      </c>
      <c r="G4" s="19" t="inlineStr">
        <is>
          <t>MISSING in A1</t>
        </is>
      </c>
      <c r="H4" s="19" t="inlineStr">
        <is>
          <t>EXTRA in A1</t>
        </is>
      </c>
      <c r="I4" s="19" t="inlineStr">
        <is>
          <t>VALUE MISMATCH</t>
        </is>
      </c>
      <c r="J4" s="19" t="inlineStr">
        <is>
          <t>Overall Status</t>
        </is>
      </c>
    </row>
    <row r="5">
      <c r="A5" s="20" t="inlineStr">
        <is>
          <t>D</t>
        </is>
      </c>
      <c r="B5" s="20" t="inlineStr">
        <is>
          <t>D1</t>
        </is>
      </c>
      <c r="C5" s="20" t="n">
        <v>1</v>
      </c>
      <c r="D5" s="21" t="inlineStr">
        <is>
          <t>2_D001 ⇄ 1_A009 ⇄ 1_B009</t>
        </is>
      </c>
      <c r="E5" s="20" t="inlineStr">
        <is>
          <t>1 : 1 : n</t>
        </is>
      </c>
      <c r="F5" s="20" t="inlineStr">
        <is>
          <t>2 Direct+Cond</t>
        </is>
      </c>
      <c r="G5" s="22">
        <f>COUNTIF(Recon_Detail!$K$6:$K$10,"MISSING in A1")</f>
        <v/>
      </c>
      <c r="H5" s="22">
        <f>COUNTIF(Recon_Detail!$K$6:$K$10,"EXTRA in A1")</f>
        <v/>
      </c>
      <c r="I5" s="22">
        <f>COUNTIF(Recon_Detail!$K$6:$K$10,"VALUE MISMATCH")</f>
        <v/>
      </c>
      <c r="J5" s="18">
        <f>IF(SUM(G5:I5)=0,"OK","ERROR — "&amp;SUM(G5:I5)&amp;" รายการ")</f>
        <v/>
      </c>
    </row>
    <row r="6">
      <c r="A6" s="20" t="inlineStr">
        <is>
          <t>D</t>
        </is>
      </c>
      <c r="B6" s="20" t="inlineStr">
        <is>
          <t>D1</t>
        </is>
      </c>
      <c r="C6" s="20" t="n">
        <v>2</v>
      </c>
      <c r="D6" s="21" t="inlineStr">
        <is>
          <t>2_D001 ⇄ 1_A005 ⇄ 1_B002</t>
        </is>
      </c>
      <c r="E6" s="20" t="inlineStr">
        <is>
          <t>1 : 1 : n</t>
        </is>
      </c>
      <c r="F6" s="20" t="inlineStr">
        <is>
          <t>1 Direct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3" t="inlineStr">
        <is>
          <t>Pending data</t>
        </is>
      </c>
    </row>
    <row r="7">
      <c r="A7" s="20" t="inlineStr">
        <is>
          <t>D</t>
        </is>
      </c>
      <c r="B7" s="20" t="inlineStr">
        <is>
          <t>D1</t>
        </is>
      </c>
      <c r="C7" s="20" t="n">
        <v>3</v>
      </c>
      <c r="D7" s="21" t="inlineStr">
        <is>
          <t>2_D001 ⇄ 1_A001 ⇄ 1_B003</t>
        </is>
      </c>
      <c r="E7" s="20" t="inlineStr">
        <is>
          <t>1 : 1,2 : n</t>
        </is>
      </c>
      <c r="F7" s="20" t="inlineStr">
        <is>
          <t>2 Direct+Cond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3" t="inlineStr">
        <is>
          <t>Pending data</t>
        </is>
      </c>
    </row>
    <row r="8">
      <c r="A8" s="20" t="inlineStr">
        <is>
          <t>D</t>
        </is>
      </c>
      <c r="B8" s="20" t="inlineStr">
        <is>
          <t>D1</t>
        </is>
      </c>
      <c r="C8" s="20" t="n">
        <v>4</v>
      </c>
      <c r="D8" s="21" t="inlineStr">
        <is>
          <t>2_D001 ⇄ 1_A002 ⇄ 1_B004</t>
        </is>
      </c>
      <c r="E8" s="20" t="inlineStr">
        <is>
          <t>1 : 1 : n</t>
        </is>
      </c>
      <c r="F8" s="20" t="inlineStr">
        <is>
          <t>1 Direct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3" t="inlineStr">
        <is>
          <t>Pending data</t>
        </is>
      </c>
    </row>
    <row r="9">
      <c r="A9" s="20" t="inlineStr">
        <is>
          <t>D</t>
        </is>
      </c>
      <c r="B9" s="20" t="inlineStr">
        <is>
          <t>D2</t>
        </is>
      </c>
      <c r="C9" s="20" t="n">
        <v>5</v>
      </c>
      <c r="D9" s="21" t="inlineStr">
        <is>
          <t>2_D002 ⇄ 1_A003 ⇄ 2_D001 ⇄ 1_B006</t>
        </is>
      </c>
      <c r="E9" s="20" t="inlineStr">
        <is>
          <t>1 : 1 : 1 : n</t>
        </is>
      </c>
      <c r="F9" s="20" t="inlineStr">
        <is>
          <t>3 Map+Back-check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3" t="inlineStr">
        <is>
          <t>Pending data</t>
        </is>
      </c>
    </row>
    <row r="10">
      <c r="A10" s="20" t="inlineStr">
        <is>
          <t>D</t>
        </is>
      </c>
      <c r="B10" s="20" t="inlineStr">
        <is>
          <t>D3</t>
        </is>
      </c>
      <c r="C10" s="20" t="n">
        <v>6</v>
      </c>
      <c r="D10" s="21" t="inlineStr">
        <is>
          <t>2_D003 ⇄ 1_A001 ⇄ 1_B003</t>
        </is>
      </c>
      <c r="E10" s="20" t="inlineStr">
        <is>
          <t>1 : 1 : n</t>
        </is>
      </c>
      <c r="F10" s="20" t="inlineStr">
        <is>
          <t>2 Direct+Cond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3" t="inlineStr">
        <is>
          <t>Pending data</t>
        </is>
      </c>
    </row>
    <row r="11">
      <c r="A11" s="20" t="inlineStr">
        <is>
          <t>D</t>
        </is>
      </c>
      <c r="B11" s="20" t="inlineStr">
        <is>
          <t>D3</t>
        </is>
      </c>
      <c r="C11" s="20" t="n">
        <v>7</v>
      </c>
      <c r="D11" s="21" t="inlineStr">
        <is>
          <t>2_D003 ⇄ 1_A002 ⇄ 1_B004</t>
        </is>
      </c>
      <c r="E11" s="20" t="inlineStr">
        <is>
          <t>1 : 1 : n</t>
        </is>
      </c>
      <c r="F11" s="20" t="inlineStr">
        <is>
          <t>2 Direct+Cond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3" t="inlineStr">
        <is>
          <t>Pending data</t>
        </is>
      </c>
    </row>
    <row r="12">
      <c r="A12" s="20" t="inlineStr">
        <is>
          <t>D</t>
        </is>
      </c>
      <c r="B12" s="20" t="inlineStr">
        <is>
          <t>D3</t>
        </is>
      </c>
      <c r="C12" s="20" t="n">
        <v>8</v>
      </c>
      <c r="D12" s="21" t="inlineStr">
        <is>
          <t>2_D003 ⇄ 1_A004 ⇄ 1_B001</t>
        </is>
      </c>
      <c r="E12" s="20" t="inlineStr">
        <is>
          <t>1 : 1 : n</t>
        </is>
      </c>
      <c r="F12" s="20" t="inlineStr">
        <is>
          <t>2 Direct+Cond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3" t="inlineStr">
        <is>
          <t>Pending data</t>
        </is>
      </c>
    </row>
    <row r="13">
      <c r="A13" s="20" t="inlineStr">
        <is>
          <t>D</t>
        </is>
      </c>
      <c r="B13" s="20" t="inlineStr">
        <is>
          <t>D3</t>
        </is>
      </c>
      <c r="C13" s="20" t="n">
        <v>9</v>
      </c>
      <c r="D13" s="21" t="inlineStr">
        <is>
          <t>2_D003 ⇄ 1_A005 ⇄ 1_B002</t>
        </is>
      </c>
      <c r="E13" s="20" t="inlineStr">
        <is>
          <t>1 : 1 : n</t>
        </is>
      </c>
      <c r="F13" s="20" t="inlineStr">
        <is>
          <t>2 Direct+Cond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3" t="inlineStr">
        <is>
          <t>Pending data</t>
        </is>
      </c>
    </row>
    <row r="14">
      <c r="A14" s="20" t="inlineStr">
        <is>
          <t>D</t>
        </is>
      </c>
      <c r="B14" s="20" t="inlineStr">
        <is>
          <t>D3</t>
        </is>
      </c>
      <c r="C14" s="20" t="n">
        <v>10</v>
      </c>
      <c r="D14" s="21" t="inlineStr">
        <is>
          <t>2_D003 ⇄ 1_A008 ⇄ 1_B008</t>
        </is>
      </c>
      <c r="E14" s="20" t="inlineStr">
        <is>
          <t>1 : 1 : n</t>
        </is>
      </c>
      <c r="F14" s="20" t="inlineStr">
        <is>
          <t>2 Direct+Cond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3" t="inlineStr">
        <is>
          <t>Pending data</t>
        </is>
      </c>
    </row>
    <row r="15">
      <c r="A15" s="20" t="inlineStr">
        <is>
          <t>D</t>
        </is>
      </c>
      <c r="B15" s="20" t="inlineStr">
        <is>
          <t>D3</t>
        </is>
      </c>
      <c r="C15" s="20" t="n">
        <v>11</v>
      </c>
      <c r="D15" s="21" t="inlineStr">
        <is>
          <t>2_D003 ⇄ 1_A006 ⇄ 1_B005</t>
        </is>
      </c>
      <c r="E15" s="20" t="inlineStr">
        <is>
          <t>1 : n : n</t>
        </is>
      </c>
      <c r="F15" s="20" t="inlineStr">
        <is>
          <t>2 Direct+Cond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3" t="inlineStr">
        <is>
          <t>Pending data</t>
        </is>
      </c>
    </row>
    <row r="16">
      <c r="A16" s="20" t="inlineStr">
        <is>
          <t>D</t>
        </is>
      </c>
      <c r="B16" s="20" t="inlineStr">
        <is>
          <t>D3</t>
        </is>
      </c>
      <c r="C16" s="20" t="n">
        <v>12</v>
      </c>
      <c r="D16" s="21" t="inlineStr">
        <is>
          <t>2_D003 ⇄ 2_D004 ⇄ 2_D005 ⇄ 1_A005</t>
        </is>
      </c>
      <c r="E16" s="20" t="inlineStr">
        <is>
          <t>n : 1 : 1 : ?</t>
        </is>
      </c>
      <c r="F16" s="20" t="inlineStr">
        <is>
          <t>3 Map+Back-check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3" t="inlineStr">
        <is>
          <t>Pending data</t>
        </is>
      </c>
    </row>
    <row r="17">
      <c r="A17" s="20" t="inlineStr">
        <is>
          <t>O</t>
        </is>
      </c>
      <c r="B17" s="20" t="inlineStr">
        <is>
          <t>O1</t>
        </is>
      </c>
      <c r="C17" s="20" t="n">
        <v>1</v>
      </c>
      <c r="D17" s="21" t="inlineStr">
        <is>
          <t>3_O001 ⇄ 1_A007 ⇄ 1_B007</t>
        </is>
      </c>
      <c r="E17" s="20" t="inlineStr">
        <is>
          <t>1 : 1 : n</t>
        </is>
      </c>
      <c r="F17" s="20" t="inlineStr">
        <is>
          <t>1 Direct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3" t="inlineStr">
        <is>
          <t>Pending data</t>
        </is>
      </c>
    </row>
    <row r="18">
      <c r="A18" s="20" t="inlineStr">
        <is>
          <t>O</t>
        </is>
      </c>
      <c r="B18" s="20" t="inlineStr">
        <is>
          <t>O1</t>
        </is>
      </c>
      <c r="C18" s="20" t="n">
        <v>2</v>
      </c>
      <c r="D18" s="21" t="inlineStr">
        <is>
          <t>3_O001 ⇄ 1_A005 ⇄ 1_B002</t>
        </is>
      </c>
      <c r="E18" s="20" t="inlineStr">
        <is>
          <t>1 : 1 : n</t>
        </is>
      </c>
      <c r="F18" s="20" t="inlineStr">
        <is>
          <t>1 Direct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3" t="inlineStr">
        <is>
          <t>Pending data</t>
        </is>
      </c>
    </row>
    <row r="19">
      <c r="A19" s="20" t="inlineStr">
        <is>
          <t>O</t>
        </is>
      </c>
      <c r="B19" s="20" t="inlineStr">
        <is>
          <t>O1</t>
        </is>
      </c>
      <c r="C19" s="20" t="n">
        <v>3</v>
      </c>
      <c r="D19" s="21" t="inlineStr">
        <is>
          <t>3_O001 ⇄ 1_A001 ⇄ 3_O003 ⇄ 1_B003</t>
        </is>
      </c>
      <c r="E19" s="20" t="inlineStr">
        <is>
          <t>1 : 1 : 1 : n</t>
        </is>
      </c>
      <c r="F19" s="20" t="inlineStr">
        <is>
          <t>3 Map+Back-check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3" t="inlineStr">
        <is>
          <t>Pending data</t>
        </is>
      </c>
    </row>
    <row r="20">
      <c r="A20" s="20" t="inlineStr">
        <is>
          <t>O</t>
        </is>
      </c>
      <c r="B20" s="20" t="inlineStr">
        <is>
          <t>O1</t>
        </is>
      </c>
      <c r="C20" s="20" t="n">
        <v>4</v>
      </c>
      <c r="D20" s="21" t="inlineStr">
        <is>
          <t>3_O001 ⇄ 1_A002 ⇄ 1_B004</t>
        </is>
      </c>
      <c r="E20" s="20" t="inlineStr">
        <is>
          <t>1 : 1 : n</t>
        </is>
      </c>
      <c r="F20" s="20" t="inlineStr">
        <is>
          <t>1 Direct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3" t="inlineStr">
        <is>
          <t>Pending data</t>
        </is>
      </c>
    </row>
    <row r="21">
      <c r="A21" s="20" t="inlineStr">
        <is>
          <t>O</t>
        </is>
      </c>
      <c r="B21" s="20" t="inlineStr">
        <is>
          <t>O2</t>
        </is>
      </c>
      <c r="C21" s="20" t="n">
        <v>5</v>
      </c>
      <c r="D21" s="21" t="inlineStr">
        <is>
          <t>3_O002 ⇄ 1_A005 ⇄ 1_B002</t>
        </is>
      </c>
      <c r="E21" s="20" t="inlineStr">
        <is>
          <t>1 : 2 : n</t>
        </is>
      </c>
      <c r="F21" s="20" t="inlineStr">
        <is>
          <t>2 Direct+Cond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3" t="inlineStr">
        <is>
          <t>Pending data</t>
        </is>
      </c>
    </row>
    <row r="22">
      <c r="A22" s="20" t="inlineStr">
        <is>
          <t>O</t>
        </is>
      </c>
      <c r="B22" s="20" t="inlineStr">
        <is>
          <t>O3</t>
        </is>
      </c>
      <c r="C22" s="20" t="n">
        <v>6</v>
      </c>
      <c r="D22" s="21" t="inlineStr">
        <is>
          <t>3_O003 ⇄ 1_A008 ⇄ 1_B008</t>
        </is>
      </c>
      <c r="E22" s="20" t="inlineStr">
        <is>
          <t>1 : 1 : n</t>
        </is>
      </c>
      <c r="F22" s="20" t="inlineStr">
        <is>
          <t>1 Direct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3" t="inlineStr">
        <is>
          <t>Pending data</t>
        </is>
      </c>
    </row>
    <row r="23">
      <c r="A23" s="20" t="inlineStr">
        <is>
          <t>C</t>
        </is>
      </c>
      <c r="B23" s="20" t="inlineStr">
        <is>
          <t>C1</t>
        </is>
      </c>
      <c r="C23" s="20" t="n">
        <v>1</v>
      </c>
      <c r="D23" s="21" t="inlineStr">
        <is>
          <t>1_A008 ⇄ 4_C001</t>
        </is>
      </c>
      <c r="E23" s="20" t="inlineStr">
        <is>
          <t>1 : 2</t>
        </is>
      </c>
      <c r="F23" s="20" t="inlineStr">
        <is>
          <t>2 Direct+Cond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3" t="inlineStr">
        <is>
          <t>Pending data</t>
        </is>
      </c>
    </row>
    <row r="24">
      <c r="A24" s="20" t="inlineStr">
        <is>
          <t>C</t>
        </is>
      </c>
      <c r="B24" s="20" t="inlineStr">
        <is>
          <t>C1</t>
        </is>
      </c>
      <c r="C24" s="20" t="n">
        <v>2</v>
      </c>
      <c r="D24" s="21" t="inlineStr">
        <is>
          <t>1_A008 ⇄ 4_C002 ⇄ 4_C003</t>
        </is>
      </c>
      <c r="E24" s="20" t="inlineStr">
        <is>
          <t>1 : 1 : 1</t>
        </is>
      </c>
      <c r="F24" s="20" t="inlineStr">
        <is>
          <t>3 Map+Back-check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3" t="inlineStr">
        <is>
          <t>Pending data</t>
        </is>
      </c>
    </row>
    <row r="25">
      <c r="A25" s="20" t="inlineStr">
        <is>
          <t>C</t>
        </is>
      </c>
      <c r="B25" s="20" t="inlineStr">
        <is>
          <t>C1</t>
        </is>
      </c>
      <c r="C25" s="20" t="n">
        <v>3</v>
      </c>
      <c r="D25" s="21" t="inlineStr">
        <is>
          <t>1_A008 ⇄ 1_B008</t>
        </is>
      </c>
      <c r="E25" s="20" t="inlineStr">
        <is>
          <t>1 : n</t>
        </is>
      </c>
      <c r="F25" s="20" t="inlineStr">
        <is>
          <t>1 Direct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3" t="inlineStr">
        <is>
          <t>Pending data</t>
        </is>
      </c>
    </row>
  </sheetData>
  <mergeCells count="2">
    <mergeCell ref="A1:J1"/>
    <mergeCell ref="A2:J2"/>
  </mergeCells>
  <conditionalFormatting sqref="J5:J25">
    <cfRule type="expression" priority="1" dxfId="0">
      <formula>$J5="OK"</formula>
    </cfRule>
    <cfRule type="expression" priority="2" dxfId="1">
      <formula>LEFT($J5,5)="ERROR"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3" customWidth="1" min="3" max="3"/>
    <col width="16" customWidth="1" min="4" max="4"/>
    <col width="24" customWidth="1" min="5" max="5"/>
    <col width="22" customWidth="1" min="6" max="6"/>
    <col width="22" customWidth="1" min="7" max="7"/>
    <col width="22" customWidth="1" min="8" max="8"/>
    <col width="26" customWidth="1" min="9" max="9"/>
    <col width="28" customWidth="1" min="10" max="10"/>
    <col width="22" customWidth="1" min="11" max="11"/>
    <col width="24" customWidth="1" min="12" max="12"/>
    <col width="26" customWidth="1" min="13" max="13"/>
  </cols>
  <sheetData>
    <row r="1" ht="26" customHeight="1">
      <c r="A1" s="1" t="inlineStr">
        <is>
          <t>RECON RULES  —  สเปกการจับคู่ต่อ Set (อ่านได้โดย Engine / AI / คน)</t>
        </is>
      </c>
    </row>
    <row r="2" ht="34" customHeight="1">
      <c r="A2" s="2" t="inlineStr">
        <is>
          <t>หัวใจของเครื่องมือ: กำหนดต่อ Set ว่าใช้ Pattern ใด, Match Key อะไร, เตรียมคีย์ (Key Prep) อย่างไร, เทียบ field ใด, เงื่อนไข/Back-check  |  ช่องเหลือง = แก้ไขได้ (ค่า default โปรดยืนยัน)</t>
        </is>
      </c>
    </row>
    <row r="4" ht="30" customHeight="1">
      <c r="A4" s="19" t="inlineStr">
        <is>
          <t>Set ID</t>
        </is>
      </c>
      <c r="B4" s="19" t="inlineStr">
        <is>
          <t>Chain</t>
        </is>
      </c>
      <c r="C4" s="19" t="inlineStr">
        <is>
          <t>Trans.Map</t>
        </is>
      </c>
      <c r="D4" s="19" t="inlineStr">
        <is>
          <t>Match Pattern</t>
        </is>
      </c>
      <c r="E4" s="19" t="inlineStr">
        <is>
          <t>Match Key Fields</t>
        </is>
      </c>
      <c r="F4" s="19" t="inlineStr">
        <is>
          <t>DB Key (raw)</t>
        </is>
      </c>
      <c r="G4" s="19" t="inlineStr">
        <is>
          <t>DB Key Prep</t>
        </is>
      </c>
      <c r="H4" s="19" t="inlineStr">
        <is>
          <t>A1 Key (raw)</t>
        </is>
      </c>
      <c r="I4" s="19" t="inlineStr">
        <is>
          <t>A1 Key Prep</t>
        </is>
      </c>
      <c r="J4" s="19" t="inlineStr">
        <is>
          <t>Compare Fields</t>
        </is>
      </c>
      <c r="K4" s="19" t="inlineStr">
        <is>
          <t>Extra Condition (P2)</t>
        </is>
      </c>
      <c r="L4" s="19" t="inlineStr">
        <is>
          <t>Back-check Source (P3)</t>
        </is>
      </c>
      <c r="M4" s="19" t="inlineStr">
        <is>
          <t>Notes</t>
        </is>
      </c>
    </row>
    <row r="5">
      <c r="A5" s="24" t="inlineStr">
        <is>
          <t>D1-1</t>
        </is>
      </c>
      <c r="B5" s="21" t="inlineStr">
        <is>
          <t>2_D001 ⇄ 1_A009 ⇄ 1_B009</t>
        </is>
      </c>
      <c r="C5" s="20" t="inlineStr">
        <is>
          <t>1 : 1 : n</t>
        </is>
      </c>
      <c r="D5" s="25" t="inlineStr">
        <is>
          <t>2 Direct+Cond</t>
        </is>
      </c>
      <c r="E5" s="26" t="inlineStr">
        <is>
          <t>Ref (TRADE_REF=FI Arr No)</t>
        </is>
      </c>
      <c r="F5" s="21" t="inlineStr">
        <is>
          <t>TRADE_REF</t>
        </is>
      </c>
      <c r="G5" s="26" t="inlineStr">
        <is>
          <t>AS_IS</t>
        </is>
      </c>
      <c r="H5" s="21" t="inlineStr">
        <is>
          <t>FI Arrangement Number + CMF CODE</t>
        </is>
      </c>
      <c r="I5" s="26" t="inlineStr">
        <is>
          <t>REGEX("C\d+")  (เช่น KT…C0001→C0001)</t>
        </is>
      </c>
      <c r="J5" s="26" t="inlineStr">
        <is>
          <t>CCY + Amount + Date</t>
        </is>
      </c>
      <c r="K5" s="26" t="inlineStr">
        <is>
          <t>PRODUCT_TYPE in scope</t>
        </is>
      </c>
      <c r="L5" s="26" t="inlineStr">
        <is>
          <t>-</t>
        </is>
      </c>
      <c r="M5" s="21" t="inlineStr">
        <is>
          <t>ตัวอย่าง live ใน Recon_Detail</t>
        </is>
      </c>
    </row>
    <row r="6">
      <c r="A6" s="24" t="inlineStr">
        <is>
          <t>D1-2</t>
        </is>
      </c>
      <c r="B6" s="21" t="inlineStr">
        <is>
          <t>2_D001 ⇄ 1_A005 ⇄ 1_B002</t>
        </is>
      </c>
      <c r="C6" s="20" t="inlineStr">
        <is>
          <t>1 : 1 : n</t>
        </is>
      </c>
      <c r="D6" s="25" t="inlineStr">
        <is>
          <t>1 Direct</t>
        </is>
      </c>
      <c r="E6" s="26" t="inlineStr">
        <is>
          <t>Ref (FI Arr No)</t>
        </is>
      </c>
      <c r="F6" s="21" t="inlineStr">
        <is>
          <t>TRADE_REF</t>
        </is>
      </c>
      <c r="G6" s="26" t="inlineStr">
        <is>
          <t>AS_IS</t>
        </is>
      </c>
      <c r="H6" s="21" t="inlineStr">
        <is>
          <t>FI Arrangement Number</t>
        </is>
      </c>
      <c r="I6" s="26" t="inlineStr">
        <is>
          <t>AS_IS</t>
        </is>
      </c>
      <c r="J6" s="26" t="inlineStr">
        <is>
          <t>CCY + Buy/Sell Amount + Date</t>
        </is>
      </c>
      <c r="K6" s="26" t="inlineStr">
        <is>
          <t>-</t>
        </is>
      </c>
      <c r="L6" s="26" t="inlineStr">
        <is>
          <t>-</t>
        </is>
      </c>
      <c r="M6" s="21" t="inlineStr"/>
    </row>
    <row r="7">
      <c r="A7" s="24" t="inlineStr">
        <is>
          <t>D1-3</t>
        </is>
      </c>
      <c r="B7" s="21" t="inlineStr">
        <is>
          <t>2_D001 ⇄ 1_A001 ⇄ 1_B003</t>
        </is>
      </c>
      <c r="C7" s="20" t="inlineStr">
        <is>
          <t>1 : 1,2 : n</t>
        </is>
      </c>
      <c r="D7" s="25" t="inlineStr">
        <is>
          <t>2 Direct+Cond</t>
        </is>
      </c>
      <c r="E7" s="26" t="inlineStr">
        <is>
          <t>Ref (FI Arr No)</t>
        </is>
      </c>
      <c r="F7" s="21" t="inlineStr">
        <is>
          <t>TRADE_REF</t>
        </is>
      </c>
      <c r="G7" s="26" t="inlineStr">
        <is>
          <t>AS_IS</t>
        </is>
      </c>
      <c r="H7" s="21" t="inlineStr">
        <is>
          <t>FI Arrangement Number</t>
        </is>
      </c>
      <c r="I7" s="26" t="inlineStr">
        <is>
          <t>AS_IS</t>
        </is>
      </c>
      <c r="J7" s="26" t="inlineStr">
        <is>
          <t>CCY + Original Amount + Date</t>
        </is>
      </c>
      <c r="K7" s="26" t="inlineStr">
        <is>
          <t>Leg Type (1,2)</t>
        </is>
      </c>
      <c r="L7" s="26" t="inlineStr">
        <is>
          <t>-</t>
        </is>
      </c>
      <c r="M7" s="21" t="inlineStr"/>
    </row>
    <row r="8">
      <c r="A8" s="24" t="inlineStr">
        <is>
          <t>D1-4</t>
        </is>
      </c>
      <c r="B8" s="21" t="inlineStr">
        <is>
          <t>2_D001 ⇄ 1_A002 ⇄ 1_B004</t>
        </is>
      </c>
      <c r="C8" s="20" t="inlineStr">
        <is>
          <t>1 : 1 : n</t>
        </is>
      </c>
      <c r="D8" s="25" t="inlineStr">
        <is>
          <t>1 Direct</t>
        </is>
      </c>
      <c r="E8" s="26" t="inlineStr">
        <is>
          <t>Ref (Arr Number)</t>
        </is>
      </c>
      <c r="F8" s="21" t="inlineStr">
        <is>
          <t>TRADE_REF</t>
        </is>
      </c>
      <c r="G8" s="26" t="inlineStr">
        <is>
          <t>AS_IS</t>
        </is>
      </c>
      <c r="H8" s="21" t="inlineStr">
        <is>
          <t>Arrangement Number</t>
        </is>
      </c>
      <c r="I8" s="26" t="inlineStr">
        <is>
          <t>AS_IS</t>
        </is>
      </c>
      <c r="J8" s="26" t="inlineStr">
        <is>
          <t>CCY + Original Amount + Date</t>
        </is>
      </c>
      <c r="K8" s="26" t="inlineStr">
        <is>
          <t>-</t>
        </is>
      </c>
      <c r="L8" s="26" t="inlineStr">
        <is>
          <t>-</t>
        </is>
      </c>
      <c r="M8" s="21" t="inlineStr"/>
    </row>
    <row r="9">
      <c r="A9" s="24" t="inlineStr">
        <is>
          <t>D2-5</t>
        </is>
      </c>
      <c r="B9" s="21" t="inlineStr">
        <is>
          <t>2_D002 ⇄ 1_A003 ⇄ 2_D001 ⇄ 1_B006</t>
        </is>
      </c>
      <c r="C9" s="20" t="inlineStr">
        <is>
          <t>1 : 1 : 1 : n</t>
        </is>
      </c>
      <c r="D9" s="25" t="inlineStr">
        <is>
          <t>3 Map+Back-check</t>
        </is>
      </c>
      <c r="E9" s="26" t="inlineStr">
        <is>
          <t>Ref (FI Arr No)</t>
        </is>
      </c>
      <c r="F9" s="21" t="inlineStr">
        <is>
          <t>FI Arrangement Number</t>
        </is>
      </c>
      <c r="G9" s="26" t="inlineStr">
        <is>
          <t>AS_IS</t>
        </is>
      </c>
      <c r="H9" s="21" t="inlineStr">
        <is>
          <t>FI Arrangement Number</t>
        </is>
      </c>
      <c r="I9" s="26" t="inlineStr">
        <is>
          <t>AS_IS</t>
        </is>
      </c>
      <c r="J9" s="26" t="inlineStr">
        <is>
          <t>CCY + Amount + Date</t>
        </is>
      </c>
      <c r="K9" s="26" t="inlineStr">
        <is>
          <t>-</t>
        </is>
      </c>
      <c r="L9" s="26" t="inlineStr">
        <is>
          <t>2_D001 (Main Source)</t>
        </is>
      </c>
      <c r="M9" s="21" t="inlineStr"/>
    </row>
    <row r="10">
      <c r="A10" s="24" t="inlineStr">
        <is>
          <t>D3-6</t>
        </is>
      </c>
      <c r="B10" s="21" t="inlineStr">
        <is>
          <t>2_D003 ⇄ 1_A001 ⇄ 1_B003</t>
        </is>
      </c>
      <c r="C10" s="20" t="inlineStr">
        <is>
          <t>1 : 1 : n</t>
        </is>
      </c>
      <c r="D10" s="25" t="inlineStr">
        <is>
          <t>2 Direct+Cond</t>
        </is>
      </c>
      <c r="E10" s="26" t="inlineStr">
        <is>
          <t>Ref + CCY + Amount</t>
        </is>
      </c>
      <c r="F10" s="21" t="inlineStr">
        <is>
          <t>Ref + CCY + Amount + CMF Code</t>
        </is>
      </c>
      <c r="G10" s="26" t="inlineStr">
        <is>
          <t>AS_IS</t>
        </is>
      </c>
      <c r="H10" s="21" t="inlineStr">
        <is>
          <t>FI Arrangement Number</t>
        </is>
      </c>
      <c r="I10" s="26" t="inlineStr">
        <is>
          <t>AS_IS</t>
        </is>
      </c>
      <c r="J10" s="26" t="inlineStr">
        <is>
          <t>CCY + Amount + Date</t>
        </is>
      </c>
      <c r="K10" s="26" t="inlineStr">
        <is>
          <t>Type / Settle status</t>
        </is>
      </c>
      <c r="L10" s="26" t="inlineStr">
        <is>
          <t>-</t>
        </is>
      </c>
      <c r="M10" s="21" t="inlineStr"/>
    </row>
    <row r="11">
      <c r="A11" s="24" t="inlineStr">
        <is>
          <t>D3-7</t>
        </is>
      </c>
      <c r="B11" s="21" t="inlineStr">
        <is>
          <t>2_D003 ⇄ 1_A002 ⇄ 1_B004</t>
        </is>
      </c>
      <c r="C11" s="20" t="inlineStr">
        <is>
          <t>1 : 1 : n</t>
        </is>
      </c>
      <c r="D11" s="25" t="inlineStr">
        <is>
          <t>2 Direct+Cond</t>
        </is>
      </c>
      <c r="E11" s="26" t="inlineStr">
        <is>
          <t>Ref + CCY + Amount</t>
        </is>
      </c>
      <c r="F11" s="21" t="inlineStr">
        <is>
          <t>Ref + CCY + Amount + CMF Code</t>
        </is>
      </c>
      <c r="G11" s="26" t="inlineStr">
        <is>
          <t>AS_IS</t>
        </is>
      </c>
      <c r="H11" s="21" t="inlineStr">
        <is>
          <t>Arrangement Number</t>
        </is>
      </c>
      <c r="I11" s="26" t="inlineStr">
        <is>
          <t>AS_IS</t>
        </is>
      </c>
      <c r="J11" s="26" t="inlineStr">
        <is>
          <t>CCY + Amount + Date</t>
        </is>
      </c>
      <c r="K11" s="26" t="inlineStr">
        <is>
          <t>Type / Settle status</t>
        </is>
      </c>
      <c r="L11" s="26" t="inlineStr">
        <is>
          <t>-</t>
        </is>
      </c>
      <c r="M11" s="21" t="inlineStr"/>
    </row>
    <row r="12">
      <c r="A12" s="24" t="inlineStr">
        <is>
          <t>D3-8</t>
        </is>
      </c>
      <c r="B12" s="21" t="inlineStr">
        <is>
          <t>2_D003 ⇄ 1_A004 ⇄ 1_B001</t>
        </is>
      </c>
      <c r="C12" s="20" t="inlineStr">
        <is>
          <t>1 : 1 : n</t>
        </is>
      </c>
      <c r="D12" s="25" t="inlineStr">
        <is>
          <t>2 Direct+Cond</t>
        </is>
      </c>
      <c r="E12" s="26" t="inlineStr">
        <is>
          <t>Ref + CCY + Amount</t>
        </is>
      </c>
      <c r="F12" s="21" t="inlineStr">
        <is>
          <t>Ref + CCY + Amount + CMF Code</t>
        </is>
      </c>
      <c r="G12" s="26" t="inlineStr">
        <is>
          <t>AS_IS</t>
        </is>
      </c>
      <c r="H12" s="21" t="inlineStr">
        <is>
          <t>Arr Number</t>
        </is>
      </c>
      <c r="I12" s="26" t="inlineStr">
        <is>
          <t>AS_IS</t>
        </is>
      </c>
      <c r="J12" s="26" t="inlineStr">
        <is>
          <t>CCY + Amount + Date</t>
        </is>
      </c>
      <c r="K12" s="26" t="inlineStr">
        <is>
          <t>Type / Settle status</t>
        </is>
      </c>
      <c r="L12" s="26" t="inlineStr">
        <is>
          <t>-</t>
        </is>
      </c>
      <c r="M12" s="21" t="inlineStr"/>
    </row>
    <row r="13">
      <c r="A13" s="24" t="inlineStr">
        <is>
          <t>D3-9</t>
        </is>
      </c>
      <c r="B13" s="21" t="inlineStr">
        <is>
          <t>2_D003 ⇄ 1_A005 ⇄ 1_B002</t>
        </is>
      </c>
      <c r="C13" s="20" t="inlineStr">
        <is>
          <t>1 : 1 : n</t>
        </is>
      </c>
      <c r="D13" s="25" t="inlineStr">
        <is>
          <t>2 Direct+Cond</t>
        </is>
      </c>
      <c r="E13" s="26" t="inlineStr">
        <is>
          <t>Ref + CCY + Amount</t>
        </is>
      </c>
      <c r="F13" s="21" t="inlineStr">
        <is>
          <t>Ref + CCY + Amount + CMF Code</t>
        </is>
      </c>
      <c r="G13" s="26" t="inlineStr">
        <is>
          <t>AS_IS</t>
        </is>
      </c>
      <c r="H13" s="21" t="inlineStr">
        <is>
          <t>FI Arrangement Number</t>
        </is>
      </c>
      <c r="I13" s="26" t="inlineStr">
        <is>
          <t>AS_IS</t>
        </is>
      </c>
      <c r="J13" s="26" t="inlineStr">
        <is>
          <t>CCY + Amount + Date</t>
        </is>
      </c>
      <c r="K13" s="26" t="inlineStr">
        <is>
          <t>Type / Settle status</t>
        </is>
      </c>
      <c r="L13" s="26" t="inlineStr">
        <is>
          <t>-</t>
        </is>
      </c>
      <c r="M13" s="21" t="inlineStr"/>
    </row>
    <row r="14">
      <c r="A14" s="24" t="inlineStr">
        <is>
          <t>D3-10</t>
        </is>
      </c>
      <c r="B14" s="21" t="inlineStr">
        <is>
          <t>2_D003 ⇄ 1_A008 ⇄ 1_B008</t>
        </is>
      </c>
      <c r="C14" s="20" t="inlineStr">
        <is>
          <t>1 : 1 : n</t>
        </is>
      </c>
      <c r="D14" s="25" t="inlineStr">
        <is>
          <t>2 Direct+Cond</t>
        </is>
      </c>
      <c r="E14" s="26" t="inlineStr">
        <is>
          <t>Ref + CCY + Amount</t>
        </is>
      </c>
      <c r="F14" s="21" t="inlineStr">
        <is>
          <t>Ref + CCY + Amount + CMF Code</t>
        </is>
      </c>
      <c r="G14" s="26" t="inlineStr">
        <is>
          <t>AS_IS</t>
        </is>
      </c>
      <c r="H14" s="21" t="inlineStr">
        <is>
          <t>Reference Transaction Number</t>
        </is>
      </c>
      <c r="I14" s="26" t="inlineStr">
        <is>
          <t>AS_IS</t>
        </is>
      </c>
      <c r="J14" s="26" t="inlineStr">
        <is>
          <t>CCY + Amount + Date</t>
        </is>
      </c>
      <c r="K14" s="26" t="inlineStr">
        <is>
          <t>Transaction Type</t>
        </is>
      </c>
      <c r="L14" s="26" t="inlineStr">
        <is>
          <t>-</t>
        </is>
      </c>
      <c r="M14" s="21" t="inlineStr"/>
    </row>
    <row r="15">
      <c r="A15" s="24" t="inlineStr">
        <is>
          <t>D3-11</t>
        </is>
      </c>
      <c r="B15" s="21" t="inlineStr">
        <is>
          <t>2_D003 ⇄ 1_A006 ⇄ 1_B005</t>
        </is>
      </c>
      <c r="C15" s="20" t="inlineStr">
        <is>
          <t>1 : n : n</t>
        </is>
      </c>
      <c r="D15" s="25" t="inlineStr">
        <is>
          <t>2 Direct+Cond</t>
        </is>
      </c>
      <c r="E15" s="26" t="inlineStr">
        <is>
          <t>Ref + Type + CCY + Amount</t>
        </is>
      </c>
      <c r="F15" s="21" t="inlineStr">
        <is>
          <t>Ref + CCY + Amount + CMF Code</t>
        </is>
      </c>
      <c r="G15" s="26" t="inlineStr">
        <is>
          <t>AS_IS</t>
        </is>
      </c>
      <c r="H15" s="21" t="inlineStr">
        <is>
          <t>FI Arrangement Number</t>
        </is>
      </c>
      <c r="I15" s="26" t="inlineStr">
        <is>
          <t>AS_IS</t>
        </is>
      </c>
      <c r="J15" s="26" t="inlineStr">
        <is>
          <t>CCY + Amount + Date</t>
        </is>
      </c>
      <c r="K15" s="26" t="inlineStr">
        <is>
          <t>Type</t>
        </is>
      </c>
      <c r="L15" s="26" t="inlineStr">
        <is>
          <t>-</t>
        </is>
      </c>
      <c r="M15" s="21" t="inlineStr"/>
    </row>
    <row r="16">
      <c r="A16" s="24" t="inlineStr">
        <is>
          <t>D3-12</t>
        </is>
      </c>
      <c r="B16" s="21" t="inlineStr">
        <is>
          <t>2_D003 ⇄ 2_D004 ⇄ 2_D005 ⇄ 1_A005</t>
        </is>
      </c>
      <c r="C16" s="20" t="inlineStr">
        <is>
          <t>n : 1 : 1 : ?</t>
        </is>
      </c>
      <c r="D16" s="25" t="inlineStr">
        <is>
          <t>3 Map+Back-check</t>
        </is>
      </c>
      <c r="E16" s="26" t="inlineStr">
        <is>
          <t>Ref (CMF/Trans Ref)</t>
        </is>
      </c>
      <c r="F16" s="21" t="inlineStr">
        <is>
          <t>Ref + CCY + Amount + CMF Code</t>
        </is>
      </c>
      <c r="G16" s="26" t="inlineStr">
        <is>
          <t>AS_IS</t>
        </is>
      </c>
      <c r="H16" s="21" t="inlineStr">
        <is>
          <t>FI Arrangement Number</t>
        </is>
      </c>
      <c r="I16" s="26" t="inlineStr">
        <is>
          <t>AS_IS</t>
        </is>
      </c>
      <c r="J16" s="26" t="inlineStr">
        <is>
          <t>CCY + Current Principal</t>
        </is>
      </c>
      <c r="K16" s="26" t="inlineStr">
        <is>
          <t>-</t>
        </is>
      </c>
      <c r="L16" s="26" t="inlineStr">
        <is>
          <t>2_D004 + 2_D005</t>
        </is>
      </c>
      <c r="M16" s="21" t="inlineStr"/>
    </row>
    <row r="17">
      <c r="A17" s="24" t="inlineStr">
        <is>
          <t>O1-1</t>
        </is>
      </c>
      <c r="B17" s="21" t="inlineStr">
        <is>
          <t>3_O001 ⇄ 1_A007 ⇄ 1_B007</t>
        </is>
      </c>
      <c r="C17" s="20" t="inlineStr">
        <is>
          <t>1 : 1 : n</t>
        </is>
      </c>
      <c r="D17" s="25" t="inlineStr">
        <is>
          <t>1 Direct</t>
        </is>
      </c>
      <c r="E17" s="26" t="inlineStr">
        <is>
          <t>Ref (FI Arr No)</t>
        </is>
      </c>
      <c r="F17" s="21" t="inlineStr">
        <is>
          <t>FI Arrangement Number</t>
        </is>
      </c>
      <c r="G17" s="26" t="inlineStr">
        <is>
          <t>AS_IS</t>
        </is>
      </c>
      <c r="H17" s="21" t="inlineStr">
        <is>
          <t>FI Arrangement Number</t>
        </is>
      </c>
      <c r="I17" s="26" t="inlineStr">
        <is>
          <t>AS_IS</t>
        </is>
      </c>
      <c r="J17" s="26" t="inlineStr">
        <is>
          <t>CCY + Premium Amount + Date</t>
        </is>
      </c>
      <c r="K17" s="26" t="inlineStr">
        <is>
          <t>-</t>
        </is>
      </c>
      <c r="L17" s="26" t="inlineStr">
        <is>
          <t>-</t>
        </is>
      </c>
      <c r="M17" s="21" t="inlineStr"/>
    </row>
    <row r="18">
      <c r="A18" s="24" t="inlineStr">
        <is>
          <t>O1-2</t>
        </is>
      </c>
      <c r="B18" s="21" t="inlineStr">
        <is>
          <t>3_O001 ⇄ 1_A005 ⇄ 1_B002</t>
        </is>
      </c>
      <c r="C18" s="20" t="inlineStr">
        <is>
          <t>1 : 1 : n</t>
        </is>
      </c>
      <c r="D18" s="25" t="inlineStr">
        <is>
          <t>1 Direct</t>
        </is>
      </c>
      <c r="E18" s="26" t="inlineStr">
        <is>
          <t>Ref (FI Arr No)</t>
        </is>
      </c>
      <c r="F18" s="21" t="inlineStr">
        <is>
          <t>FI Arrangement Number</t>
        </is>
      </c>
      <c r="G18" s="26" t="inlineStr">
        <is>
          <t>AS_IS</t>
        </is>
      </c>
      <c r="H18" s="21" t="inlineStr">
        <is>
          <t>FI Arrangement Number</t>
        </is>
      </c>
      <c r="I18" s="26" t="inlineStr">
        <is>
          <t>AS_IS</t>
        </is>
      </c>
      <c r="J18" s="26" t="inlineStr">
        <is>
          <t>CCY + Buy/Sell Amount + Date</t>
        </is>
      </c>
      <c r="K18" s="26" t="inlineStr">
        <is>
          <t>-</t>
        </is>
      </c>
      <c r="L18" s="26" t="inlineStr">
        <is>
          <t>-</t>
        </is>
      </c>
      <c r="M18" s="21" t="inlineStr"/>
    </row>
    <row r="19">
      <c r="A19" s="24" t="inlineStr">
        <is>
          <t>O1-3</t>
        </is>
      </c>
      <c r="B19" s="21" t="inlineStr">
        <is>
          <t>3_O001 ⇄ 1_A001 ⇄ 3_O003 ⇄ 1_B003</t>
        </is>
      </c>
      <c r="C19" s="20" t="inlineStr">
        <is>
          <t>1 : 1 : 1 : n</t>
        </is>
      </c>
      <c r="D19" s="25" t="inlineStr">
        <is>
          <t>3 Map+Back-check</t>
        </is>
      </c>
      <c r="E19" s="26" t="inlineStr">
        <is>
          <t>Ref (FI Arr No / OptSeqNum)</t>
        </is>
      </c>
      <c r="F19" s="21" t="inlineStr">
        <is>
          <t>FI Arrangement Number</t>
        </is>
      </c>
      <c r="G19" s="26" t="inlineStr">
        <is>
          <t>AS_IS</t>
        </is>
      </c>
      <c r="H19" s="21" t="inlineStr">
        <is>
          <t>FI Arrangement Number</t>
        </is>
      </c>
      <c r="I19" s="26" t="inlineStr">
        <is>
          <t>AS_IS</t>
        </is>
      </c>
      <c r="J19" s="26" t="inlineStr">
        <is>
          <t>CCY + Amount + Premium</t>
        </is>
      </c>
      <c r="K19" s="26" t="inlineStr">
        <is>
          <t>-</t>
        </is>
      </c>
      <c r="L19" s="26" t="inlineStr">
        <is>
          <t>3_O003 (back-check premium)</t>
        </is>
      </c>
      <c r="M19" s="21" t="inlineStr"/>
    </row>
    <row r="20">
      <c r="A20" s="24" t="inlineStr">
        <is>
          <t>O1-4</t>
        </is>
      </c>
      <c r="B20" s="21" t="inlineStr">
        <is>
          <t>3_O001 ⇄ 1_A002 ⇄ 1_B004</t>
        </is>
      </c>
      <c r="C20" s="20" t="inlineStr">
        <is>
          <t>1 : 1 : n</t>
        </is>
      </c>
      <c r="D20" s="25" t="inlineStr">
        <is>
          <t>1 Direct</t>
        </is>
      </c>
      <c r="E20" s="26" t="inlineStr">
        <is>
          <t>Ref (Arr Number)</t>
        </is>
      </c>
      <c r="F20" s="21" t="inlineStr">
        <is>
          <t>FI Arrangement Number</t>
        </is>
      </c>
      <c r="G20" s="26" t="inlineStr">
        <is>
          <t>AS_IS</t>
        </is>
      </c>
      <c r="H20" s="21" t="inlineStr">
        <is>
          <t>Arrangement Number</t>
        </is>
      </c>
      <c r="I20" s="26" t="inlineStr">
        <is>
          <t>AS_IS</t>
        </is>
      </c>
      <c r="J20" s="26" t="inlineStr">
        <is>
          <t>CCY + Original Amount + Date</t>
        </is>
      </c>
      <c r="K20" s="26" t="inlineStr">
        <is>
          <t>-</t>
        </is>
      </c>
      <c r="L20" s="26" t="inlineStr">
        <is>
          <t>-</t>
        </is>
      </c>
      <c r="M20" s="21" t="inlineStr"/>
    </row>
    <row r="21">
      <c r="A21" s="24" t="inlineStr">
        <is>
          <t>O2-5</t>
        </is>
      </c>
      <c r="B21" s="21" t="inlineStr">
        <is>
          <t>3_O002 ⇄ 1_A005 ⇄ 1_B002</t>
        </is>
      </c>
      <c r="C21" s="20" t="inlineStr">
        <is>
          <t>1 : 2 : n</t>
        </is>
      </c>
      <c r="D21" s="25" t="inlineStr">
        <is>
          <t>2 Direct+Cond</t>
        </is>
      </c>
      <c r="E21" s="26" t="inlineStr">
        <is>
          <t>Ref (OptionNum)</t>
        </is>
      </c>
      <c r="F21" s="21" t="inlineStr">
        <is>
          <t>OptionNum</t>
        </is>
      </c>
      <c r="G21" s="26" t="inlineStr">
        <is>
          <t>AS_IS</t>
        </is>
      </c>
      <c r="H21" s="21" t="inlineStr">
        <is>
          <t>FI Arrangement Number</t>
        </is>
      </c>
      <c r="I21" s="26" t="inlineStr">
        <is>
          <t>AS_IS</t>
        </is>
      </c>
      <c r="J21" s="26" t="inlineStr">
        <is>
          <t>CCY + Amount</t>
        </is>
      </c>
      <c r="K21" s="26" t="inlineStr">
        <is>
          <t>Expired/Exercised status</t>
        </is>
      </c>
      <c r="L21" s="26" t="inlineStr">
        <is>
          <t>-</t>
        </is>
      </c>
      <c r="M21" s="21" t="inlineStr"/>
    </row>
    <row r="22">
      <c r="A22" s="24" t="inlineStr">
        <is>
          <t>O3-6</t>
        </is>
      </c>
      <c r="B22" s="21" t="inlineStr">
        <is>
          <t>3_O003 ⇄ 1_A008 ⇄ 1_B008</t>
        </is>
      </c>
      <c r="C22" s="20" t="inlineStr">
        <is>
          <t>1 : 1 : n</t>
        </is>
      </c>
      <c r="D22" s="25" t="inlineStr">
        <is>
          <t>1 Direct</t>
        </is>
      </c>
      <c r="E22" s="26" t="inlineStr">
        <is>
          <t>Ref (OptSeqNum)</t>
        </is>
      </c>
      <c r="F22" s="21" t="inlineStr">
        <is>
          <t>CompositeOptSeqNum</t>
        </is>
      </c>
      <c r="G22" s="26" t="inlineStr">
        <is>
          <t>AS_IS</t>
        </is>
      </c>
      <c r="H22" s="21" t="inlineStr">
        <is>
          <t>Reference Transaction Number</t>
        </is>
      </c>
      <c r="I22" s="26" t="inlineStr">
        <is>
          <t>AS_IS</t>
        </is>
      </c>
      <c r="J22" s="26" t="inlineStr">
        <is>
          <t>Premium CCY + Premium Amount + Date</t>
        </is>
      </c>
      <c r="K22" s="26" t="inlineStr">
        <is>
          <t>-</t>
        </is>
      </c>
      <c r="L22" s="26" t="inlineStr">
        <is>
          <t>-</t>
        </is>
      </c>
      <c r="M22" s="21" t="inlineStr"/>
    </row>
    <row r="23">
      <c r="A23" s="24" t="inlineStr">
        <is>
          <t>C1-1</t>
        </is>
      </c>
      <c r="B23" s="21" t="inlineStr">
        <is>
          <t>1_A008 ⇄ 4_C001</t>
        </is>
      </c>
      <c r="C23" s="20" t="inlineStr">
        <is>
          <t>1 : 2</t>
        </is>
      </c>
      <c r="D23" s="25" t="inlineStr">
        <is>
          <t>2 Direct+Cond</t>
        </is>
      </c>
      <c r="E23" s="26" t="inlineStr">
        <is>
          <t>Ref (Transaction No) + DR/CR</t>
        </is>
      </c>
      <c r="F23" s="21" t="inlineStr">
        <is>
          <t>Reference Transaction Number</t>
        </is>
      </c>
      <c r="G23" s="26" t="inlineStr">
        <is>
          <t>AS_IS</t>
        </is>
      </c>
      <c r="H23" s="21" t="inlineStr">
        <is>
          <t>Reference Transaction Number</t>
        </is>
      </c>
      <c r="I23" s="26" t="inlineStr">
        <is>
          <t>AS_IS</t>
        </is>
      </c>
      <c r="J23" s="26" t="inlineStr">
        <is>
          <t>Amount</t>
        </is>
      </c>
      <c r="K23" s="26" t="inlineStr">
        <is>
          <t>DR/CR split</t>
        </is>
      </c>
      <c r="L23" s="26" t="inlineStr">
        <is>
          <t>-</t>
        </is>
      </c>
      <c r="M23" s="21" t="inlineStr"/>
    </row>
    <row r="24">
      <c r="A24" s="24" t="inlineStr">
        <is>
          <t>C1-2</t>
        </is>
      </c>
      <c r="B24" s="21" t="inlineStr">
        <is>
          <t>1_A008 ⇄ 4_C002 ⇄ 4_C003</t>
        </is>
      </c>
      <c r="C24" s="20" t="inlineStr">
        <is>
          <t>1 : 1 : 1</t>
        </is>
      </c>
      <c r="D24" s="25" t="inlineStr">
        <is>
          <t>3 Map+Back-check</t>
        </is>
      </c>
      <c r="E24" s="26" t="inlineStr">
        <is>
          <t>Ref + Ccy + Notional</t>
        </is>
      </c>
      <c r="F24" s="21" t="inlineStr">
        <is>
          <t>Reference Transaction Number</t>
        </is>
      </c>
      <c r="G24" s="26" t="inlineStr">
        <is>
          <t>AS_IS</t>
        </is>
      </c>
      <c r="H24" s="21" t="inlineStr">
        <is>
          <t>Reference Transaction Number</t>
        </is>
      </c>
      <c r="I24" s="26" t="inlineStr">
        <is>
          <t>AS_IS</t>
        </is>
      </c>
      <c r="J24" s="26" t="inlineStr">
        <is>
          <t>Ccy + Notional + Accrued Int</t>
        </is>
      </c>
      <c r="K24" s="26" t="inlineStr">
        <is>
          <t>-</t>
        </is>
      </c>
      <c r="L24" s="26" t="inlineStr">
        <is>
          <t>4_C003 (back-check interest)</t>
        </is>
      </c>
      <c r="M24" s="21" t="inlineStr"/>
    </row>
    <row r="25">
      <c r="A25" s="24" t="inlineStr">
        <is>
          <t>C1-3</t>
        </is>
      </c>
      <c r="B25" s="21" t="inlineStr">
        <is>
          <t>1_A008 ⇄ 1_B008</t>
        </is>
      </c>
      <c r="C25" s="20" t="inlineStr">
        <is>
          <t>1 : n</t>
        </is>
      </c>
      <c r="D25" s="25" t="inlineStr">
        <is>
          <t>1 Direct</t>
        </is>
      </c>
      <c r="E25" s="26" t="inlineStr">
        <is>
          <t>Ref (Ref.No.)</t>
        </is>
      </c>
      <c r="F25" s="21" t="inlineStr">
        <is>
          <t>Reference Transaction Number</t>
        </is>
      </c>
      <c r="G25" s="26" t="inlineStr">
        <is>
          <t>AS_IS</t>
        </is>
      </c>
      <c r="H25" s="21" t="inlineStr">
        <is>
          <t>Reference Transaction Number</t>
        </is>
      </c>
      <c r="I25" s="26" t="inlineStr">
        <is>
          <t>AS_IS</t>
        </is>
      </c>
      <c r="J25" s="26" t="inlineStr">
        <is>
          <t>CCY + Amount</t>
        </is>
      </c>
      <c r="K25" s="26" t="inlineStr">
        <is>
          <t>-</t>
        </is>
      </c>
      <c r="L25" s="26" t="inlineStr">
        <is>
          <t>-</t>
        </is>
      </c>
      <c r="M25" s="21" t="inlineStr"/>
    </row>
    <row r="27" ht="28" customHeight="1">
      <c r="A27" s="27" t="inlineStr">
        <is>
          <t>Key Prep DSL:  AS_IS | LEFT(n) | RIGHT(n) | MID(start,len) | AFTER("x") | BEFORE("x") | REGEX("pattern") | CONCAT(f1,f2)        Pattern: 1 Direct / 2 Direct+Cond / 3 Map+Back-check</t>
        </is>
      </c>
    </row>
  </sheetData>
  <mergeCells count="3">
    <mergeCell ref="A27:M27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8" customWidth="1" min="4" max="4"/>
    <col width="22" customWidth="1" min="5" max="5"/>
    <col width="22" customWidth="1" min="6" max="6"/>
    <col width="24" customWidth="1" min="7" max="7"/>
    <col width="30" customWidth="1" min="8" max="8"/>
  </cols>
  <sheetData>
    <row r="1" ht="26" customHeight="1">
      <c r="A1" s="1" t="inlineStr">
        <is>
          <t>MAPPING STEPS  —  กระบวนการ Mapping มาตรฐาน 4 Step (ต่อคู่ Main File ⇄ Map File)</t>
        </is>
      </c>
    </row>
    <row r="2" ht="34" customHeight="1">
      <c r="A2" s="2" t="inlineStr">
        <is>
          <t>แต่ละ Set ทำทีละคู่: Main (Source#1) เทียบกับ Map File #1..#n  |  Step1 Filter → Step2 Key Map → Step3 Reconcile → Step4 Result(Main)/Return(Map)  |  ไฟล์ 1_Bxxx = ที่เขียนผล Return</t>
        </is>
      </c>
    </row>
    <row r="4" ht="30" customHeight="1">
      <c r="A4" s="19" t="inlineStr">
        <is>
          <t>Set ID</t>
        </is>
      </c>
      <c r="B4" s="19" t="inlineStr">
        <is>
          <t>Pairing  (Main ⇄ Map #k)</t>
        </is>
      </c>
      <c r="C4" s="19" t="inlineStr">
        <is>
          <t>Step1 Filter — Main</t>
        </is>
      </c>
      <c r="D4" s="19" t="inlineStr">
        <is>
          <t>Step1 Filter — Map</t>
        </is>
      </c>
      <c r="E4" s="19" t="inlineStr">
        <is>
          <t>Step2 Key Map — Main</t>
        </is>
      </c>
      <c r="F4" s="19" t="inlineStr">
        <is>
          <t>Step2 Key Map — Map</t>
        </is>
      </c>
      <c r="G4" s="19" t="inlineStr">
        <is>
          <t>Step3 Reconcile (หลัง Normalize)</t>
        </is>
      </c>
      <c r="H4" s="19" t="inlineStr">
        <is>
          <t>Step4 Result → Return (Output)</t>
        </is>
      </c>
    </row>
    <row r="5">
      <c r="A5" s="24" t="inlineStr">
        <is>
          <t>D1-1</t>
        </is>
      </c>
      <c r="B5" s="15" t="inlineStr">
        <is>
          <t>2_D001 ⇄ 1_A009  (#1)</t>
        </is>
      </c>
      <c r="C5" s="28" t="inlineStr">
        <is>
          <t>PRODUCT_TYPE, TRADE_DATE</t>
        </is>
      </c>
      <c r="D5" s="28" t="inlineStr">
        <is>
          <t>Data Set Date</t>
        </is>
      </c>
      <c r="E5" s="29" t="inlineStr">
        <is>
          <t>TRADE_REF</t>
        </is>
      </c>
      <c r="F5" s="29" t="inlineStr">
        <is>
          <t>FI Arrangement Number + CMF CODE</t>
        </is>
      </c>
      <c r="G5" s="30" t="inlineStr">
        <is>
          <t>Date + CCY + Amount + อื่นๆ</t>
        </is>
      </c>
      <c r="H5" s="31" t="inlineStr">
        <is>
          <t>Result(Main) / Return → 1_B009</t>
        </is>
      </c>
    </row>
    <row r="6">
      <c r="A6" s="24" t="inlineStr">
        <is>
          <t>D1-2</t>
        </is>
      </c>
      <c r="B6" s="15" t="inlineStr">
        <is>
          <t>2_D001 ⇄ 1_A005  (#1)</t>
        </is>
      </c>
      <c r="C6" s="28" t="inlineStr">
        <is>
          <t>PRODUCT_TYPE, TRADE_DATE</t>
        </is>
      </c>
      <c r="D6" s="28" t="inlineStr">
        <is>
          <t>DEPT CODE, System Id, Data Set Date</t>
        </is>
      </c>
      <c r="E6" s="29" t="inlineStr">
        <is>
          <t>TRADE_REF</t>
        </is>
      </c>
      <c r="F6" s="29" t="inlineStr">
        <is>
          <t>FI Arrangement Number</t>
        </is>
      </c>
      <c r="G6" s="30" t="inlineStr">
        <is>
          <t>Date + CCY + Amount + อื่นๆ</t>
        </is>
      </c>
      <c r="H6" s="31" t="inlineStr">
        <is>
          <t>Result(Main) / Return → 1_B002</t>
        </is>
      </c>
    </row>
    <row r="7">
      <c r="A7" s="24" t="inlineStr">
        <is>
          <t>D1-3</t>
        </is>
      </c>
      <c r="B7" s="15" t="inlineStr">
        <is>
          <t>2_D001 ⇄ 1_A001  (#1)</t>
        </is>
      </c>
      <c r="C7" s="28" t="inlineStr">
        <is>
          <t>PRODUCT_TYPE, TRADE_DATE</t>
        </is>
      </c>
      <c r="D7" s="28" t="inlineStr">
        <is>
          <t>DEPT CODE, System ID, Data Set Date</t>
        </is>
      </c>
      <c r="E7" s="29" t="inlineStr">
        <is>
          <t>TRADE_REF</t>
        </is>
      </c>
      <c r="F7" s="29" t="inlineStr">
        <is>
          <t>FI Arrangement Number</t>
        </is>
      </c>
      <c r="G7" s="30" t="inlineStr">
        <is>
          <t>Date + CCY + Amount + อื่นๆ</t>
        </is>
      </c>
      <c r="H7" s="31" t="inlineStr">
        <is>
          <t>Result(Main) / Return → 1_B003</t>
        </is>
      </c>
    </row>
    <row r="8">
      <c r="A8" s="24" t="inlineStr">
        <is>
          <t>D1-4</t>
        </is>
      </c>
      <c r="B8" s="15" t="inlineStr">
        <is>
          <t>2_D001 ⇄ 1_A002  (#1)</t>
        </is>
      </c>
      <c r="C8" s="28" t="inlineStr">
        <is>
          <t>PRODUCT_TYPE, TRADE_DATE</t>
        </is>
      </c>
      <c r="D8" s="28" t="inlineStr">
        <is>
          <t>DEPT CODE, Data Set Date</t>
        </is>
      </c>
      <c r="E8" s="29" t="inlineStr">
        <is>
          <t>TRADE_REF</t>
        </is>
      </c>
      <c r="F8" s="29" t="inlineStr">
        <is>
          <t>Arrangement Number</t>
        </is>
      </c>
      <c r="G8" s="30" t="inlineStr">
        <is>
          <t>Date + CCY + Amount + อื่นๆ</t>
        </is>
      </c>
      <c r="H8" s="31" t="inlineStr">
        <is>
          <t>Result(Main) / Return → 1_B004</t>
        </is>
      </c>
    </row>
    <row r="9">
      <c r="A9" s="24" t="inlineStr">
        <is>
          <t>D2-5</t>
        </is>
      </c>
      <c r="B9" s="15" t="inlineStr">
        <is>
          <t>2_D002 ⇄ 1_A003  (#1)</t>
        </is>
      </c>
      <c r="C9" s="28" t="inlineStr">
        <is>
          <t>Data Set Date</t>
        </is>
      </c>
      <c r="D9" s="28" t="inlineStr">
        <is>
          <t>Data Set Date</t>
        </is>
      </c>
      <c r="E9" s="29" t="inlineStr">
        <is>
          <t>FI Arrangement Number</t>
        </is>
      </c>
      <c r="F9" s="29" t="inlineStr">
        <is>
          <t>FI Arrangement Number</t>
        </is>
      </c>
      <c r="G9" s="30" t="inlineStr">
        <is>
          <t>Date + CCY + Amount + อื่นๆ</t>
        </is>
      </c>
      <c r="H9" s="31" t="inlineStr">
        <is>
          <t>Result(Main) / Return → 1_B006</t>
        </is>
      </c>
    </row>
    <row r="10">
      <c r="A10" s="24" t="inlineStr">
        <is>
          <t>D2-5</t>
        </is>
      </c>
      <c r="B10" s="15" t="inlineStr">
        <is>
          <t>2_D002 ⇄ 2_D001  (#2)</t>
        </is>
      </c>
      <c r="C10" s="28" t="inlineStr">
        <is>
          <t>Data Set Date</t>
        </is>
      </c>
      <c r="D10" s="28" t="inlineStr">
        <is>
          <t>PRODUCT_TYPE, TRADE_DATE</t>
        </is>
      </c>
      <c r="E10" s="29" t="inlineStr">
        <is>
          <t>FI Arrangement Number</t>
        </is>
      </c>
      <c r="F10" s="29" t="inlineStr">
        <is>
          <t>TRADE_REF</t>
        </is>
      </c>
      <c r="G10" s="30" t="inlineStr">
        <is>
          <t>Date + CCY + Amount + อื่นๆ</t>
        </is>
      </c>
      <c r="H10" s="31" t="inlineStr">
        <is>
          <t>Result(Main) / Return → 1_B006</t>
        </is>
      </c>
    </row>
    <row r="11">
      <c r="A11" s="24" t="inlineStr">
        <is>
          <t>D3-6</t>
        </is>
      </c>
      <c r="B11" s="15" t="inlineStr">
        <is>
          <t>2_D003 ⇄ 1_A001  (#1)</t>
        </is>
      </c>
      <c r="C11" s="28" t="inlineStr">
        <is>
          <t>Date, CP Name, Type, Settle/Unsettle</t>
        </is>
      </c>
      <c r="D11" s="28" t="inlineStr">
        <is>
          <t>DEPT CODE, System ID, Data Set Date</t>
        </is>
      </c>
      <c r="E11" s="29" t="inlineStr">
        <is>
          <t>Ref + CCY + Amount + CMF Code</t>
        </is>
      </c>
      <c r="F11" s="29" t="inlineStr">
        <is>
          <t>FI Arrangement Number</t>
        </is>
      </c>
      <c r="G11" s="30" t="inlineStr">
        <is>
          <t>Date + CCY + Amount + อื่นๆ</t>
        </is>
      </c>
      <c r="H11" s="31" t="inlineStr">
        <is>
          <t>Result(Main) / Return → 1_B003</t>
        </is>
      </c>
    </row>
    <row r="12">
      <c r="A12" s="24" t="inlineStr">
        <is>
          <t>D3-7</t>
        </is>
      </c>
      <c r="B12" s="15" t="inlineStr">
        <is>
          <t>2_D003 ⇄ 1_A002  (#1)</t>
        </is>
      </c>
      <c r="C12" s="28" t="inlineStr">
        <is>
          <t>Date, CP Name, Type, Settle/Unsettle</t>
        </is>
      </c>
      <c r="D12" s="28" t="inlineStr">
        <is>
          <t>DEPT CODE, Data Set Date</t>
        </is>
      </c>
      <c r="E12" s="29" t="inlineStr">
        <is>
          <t>Ref + CCY + Amount + CMF Code</t>
        </is>
      </c>
      <c r="F12" s="29" t="inlineStr">
        <is>
          <t>Arrangement Number</t>
        </is>
      </c>
      <c r="G12" s="30" t="inlineStr">
        <is>
          <t>Date + CCY + Amount + อื่นๆ</t>
        </is>
      </c>
      <c r="H12" s="31" t="inlineStr">
        <is>
          <t>Result(Main) / Return → 1_B004</t>
        </is>
      </c>
    </row>
    <row r="13">
      <c r="A13" s="24" t="inlineStr">
        <is>
          <t>D3-8</t>
        </is>
      </c>
      <c r="B13" s="15" t="inlineStr">
        <is>
          <t>2_D003 ⇄ 1_A004  (#1)</t>
        </is>
      </c>
      <c r="C13" s="28" t="inlineStr">
        <is>
          <t>Date, CP Name, Type, Settle/Unsettle</t>
        </is>
      </c>
      <c r="D13" s="28" t="inlineStr">
        <is>
          <t>Dept Code, Data Set Date</t>
        </is>
      </c>
      <c r="E13" s="29" t="inlineStr">
        <is>
          <t>Ref + CCY + Amount + CMF Code</t>
        </is>
      </c>
      <c r="F13" s="29" t="inlineStr">
        <is>
          <t>Arr Number</t>
        </is>
      </c>
      <c r="G13" s="30" t="inlineStr">
        <is>
          <t>Date + CCY + Amount + อื่นๆ</t>
        </is>
      </c>
      <c r="H13" s="31" t="inlineStr">
        <is>
          <t>Result(Main) / Return → 1_B001</t>
        </is>
      </c>
    </row>
    <row r="14">
      <c r="A14" s="24" t="inlineStr">
        <is>
          <t>D3-9</t>
        </is>
      </c>
      <c r="B14" s="15" t="inlineStr">
        <is>
          <t>2_D003 ⇄ 1_A005  (#1)</t>
        </is>
      </c>
      <c r="C14" s="28" t="inlineStr">
        <is>
          <t>Date, CP Name, Type, Settle/Unsettle</t>
        </is>
      </c>
      <c r="D14" s="28" t="inlineStr">
        <is>
          <t>DEPT CODE, System Id, Data Set Date</t>
        </is>
      </c>
      <c r="E14" s="29" t="inlineStr">
        <is>
          <t>Ref + CCY + Amount + CMF Code</t>
        </is>
      </c>
      <c r="F14" s="29" t="inlineStr">
        <is>
          <t>FI Arrangement Number</t>
        </is>
      </c>
      <c r="G14" s="30" t="inlineStr">
        <is>
          <t>Date + CCY + Amount + อื่นๆ</t>
        </is>
      </c>
      <c r="H14" s="31" t="inlineStr">
        <is>
          <t>Result(Main) / Return → 1_B002</t>
        </is>
      </c>
    </row>
    <row r="15">
      <c r="A15" s="24" t="inlineStr">
        <is>
          <t>D3-10</t>
        </is>
      </c>
      <c r="B15" s="15" t="inlineStr">
        <is>
          <t>2_D003 ⇄ 1_A008  (#1)</t>
        </is>
      </c>
      <c r="C15" s="28" t="inlineStr">
        <is>
          <t>Date, CP Name, Type, Settle/Unsettle</t>
        </is>
      </c>
      <c r="D15" s="28" t="inlineStr">
        <is>
          <t>Dept Code, System Id, Data Set Date</t>
        </is>
      </c>
      <c r="E15" s="29" t="inlineStr">
        <is>
          <t>Ref + CCY + Amount + CMF Code</t>
        </is>
      </c>
      <c r="F15" s="29" t="inlineStr">
        <is>
          <t>Reference Transaction Number</t>
        </is>
      </c>
      <c r="G15" s="30" t="inlineStr">
        <is>
          <t>Date + CCY + Amount + อื่นๆ</t>
        </is>
      </c>
      <c r="H15" s="31" t="inlineStr">
        <is>
          <t>Result(Main) / Return → 1_B008</t>
        </is>
      </c>
    </row>
    <row r="16">
      <c r="A16" s="24" t="inlineStr">
        <is>
          <t>D3-11</t>
        </is>
      </c>
      <c r="B16" s="15" t="inlineStr">
        <is>
          <t>2_D003 ⇄ 1_A006  (#1)</t>
        </is>
      </c>
      <c r="C16" s="28" t="inlineStr">
        <is>
          <t>Date, CP Name, Type, Settle/Unsettle</t>
        </is>
      </c>
      <c r="D16" s="28" t="inlineStr">
        <is>
          <t>Dept Code, Data Set Date</t>
        </is>
      </c>
      <c r="E16" s="29" t="inlineStr">
        <is>
          <t>Ref + CCY + Amount + CMF Code</t>
        </is>
      </c>
      <c r="F16" s="29" t="inlineStr">
        <is>
          <t>FI Arrangement Number</t>
        </is>
      </c>
      <c r="G16" s="30" t="inlineStr">
        <is>
          <t>Date + CCY + Amount + อื่นๆ</t>
        </is>
      </c>
      <c r="H16" s="31" t="inlineStr">
        <is>
          <t>Result(Main) / Return → 1_B005</t>
        </is>
      </c>
    </row>
    <row r="17">
      <c r="A17" s="24" t="inlineStr">
        <is>
          <t>D3-12</t>
        </is>
      </c>
      <c r="B17" s="15" t="inlineStr">
        <is>
          <t>2_D003 ⇄ 2_D004  (#1)</t>
        </is>
      </c>
      <c r="C17" s="28" t="inlineStr">
        <is>
          <t>Date, CP Name, Type, Settle/Unsettle</t>
        </is>
      </c>
      <c r="D17" s="28" t="inlineStr">
        <is>
          <t>-</t>
        </is>
      </c>
      <c r="E17" s="29" t="inlineStr">
        <is>
          <t>Ref + CCY + Amount + CMF Code</t>
        </is>
      </c>
      <c r="F17" s="29" t="inlineStr">
        <is>
          <t>(none)</t>
        </is>
      </c>
      <c r="G17" s="30" t="inlineStr">
        <is>
          <t>Date + CCY + Amount + อื่นๆ</t>
        </is>
      </c>
      <c r="H17" s="31" t="inlineStr">
        <is>
          <t>Result(Main) / Return → (compare only)</t>
        </is>
      </c>
    </row>
    <row r="18">
      <c r="A18" s="24" t="inlineStr">
        <is>
          <t>D3-12</t>
        </is>
      </c>
      <c r="B18" s="15" t="inlineStr">
        <is>
          <t>2_D003 ⇄ 2_D005  (#2)</t>
        </is>
      </c>
      <c r="C18" s="28" t="inlineStr">
        <is>
          <t>Date, CP Name, Type, Settle/Unsettle</t>
        </is>
      </c>
      <c r="D18" s="28" t="inlineStr">
        <is>
          <t>-</t>
        </is>
      </c>
      <c r="E18" s="29" t="inlineStr">
        <is>
          <t>Ref + CCY + Amount + CMF Code</t>
        </is>
      </c>
      <c r="F18" s="29" t="inlineStr">
        <is>
          <t>(none)</t>
        </is>
      </c>
      <c r="G18" s="30" t="inlineStr">
        <is>
          <t>Date + CCY + Amount + อื่นๆ</t>
        </is>
      </c>
      <c r="H18" s="31" t="inlineStr">
        <is>
          <t>Result(Main) / Return → (compare only)</t>
        </is>
      </c>
    </row>
    <row r="19">
      <c r="A19" s="24" t="inlineStr">
        <is>
          <t>D3-12</t>
        </is>
      </c>
      <c r="B19" s="15" t="inlineStr">
        <is>
          <t>2_D003 ⇄ 1_A005  (#3)</t>
        </is>
      </c>
      <c r="C19" s="28" t="inlineStr">
        <is>
          <t>Date, CP Name, Type, Settle/Unsettle</t>
        </is>
      </c>
      <c r="D19" s="28" t="inlineStr">
        <is>
          <t>DEPT CODE, System Id, Data Set Date</t>
        </is>
      </c>
      <c r="E19" s="29" t="inlineStr">
        <is>
          <t>Ref + CCY + Amount + CMF Code</t>
        </is>
      </c>
      <c r="F19" s="29" t="inlineStr">
        <is>
          <t>FI Arrangement Number</t>
        </is>
      </c>
      <c r="G19" s="30" t="inlineStr">
        <is>
          <t>Date + CCY + Amount + อื่นๆ</t>
        </is>
      </c>
      <c r="H19" s="31" t="inlineStr">
        <is>
          <t>Result(Main) / Return → (compare only)</t>
        </is>
      </c>
    </row>
    <row r="20">
      <c r="A20" s="24" t="inlineStr">
        <is>
          <t>O1-1</t>
        </is>
      </c>
      <c r="B20" s="15" t="inlineStr">
        <is>
          <t>3_O001 ⇄ 1_A007  (#1)</t>
        </is>
      </c>
      <c r="C20" s="28" t="inlineStr">
        <is>
          <t>Arrangement Contract Date</t>
        </is>
      </c>
      <c r="D20" s="28" t="inlineStr">
        <is>
          <t>Dept Code, System Id, Data Set Date</t>
        </is>
      </c>
      <c r="E20" s="29" t="inlineStr">
        <is>
          <t>FI Arrangement Number</t>
        </is>
      </c>
      <c r="F20" s="29" t="inlineStr">
        <is>
          <t>FI Arrangement Number</t>
        </is>
      </c>
      <c r="G20" s="30" t="inlineStr">
        <is>
          <t>Date + CCY + Amount + อื่นๆ</t>
        </is>
      </c>
      <c r="H20" s="31" t="inlineStr">
        <is>
          <t>Result(Main) / Return → 1_B007</t>
        </is>
      </c>
    </row>
    <row r="21">
      <c r="A21" s="24" t="inlineStr">
        <is>
          <t>O1-2</t>
        </is>
      </c>
      <c r="B21" s="15" t="inlineStr">
        <is>
          <t>3_O001 ⇄ 1_A005  (#1)</t>
        </is>
      </c>
      <c r="C21" s="28" t="inlineStr">
        <is>
          <t>Arrangement Contract Date</t>
        </is>
      </c>
      <c r="D21" s="28" t="inlineStr">
        <is>
          <t>DEPT CODE, System Id, Data Set Date</t>
        </is>
      </c>
      <c r="E21" s="29" t="inlineStr">
        <is>
          <t>FI Arrangement Number</t>
        </is>
      </c>
      <c r="F21" s="29" t="inlineStr">
        <is>
          <t>FI Arrangement Number</t>
        </is>
      </c>
      <c r="G21" s="30" t="inlineStr">
        <is>
          <t>Date + CCY + Amount + อื่นๆ</t>
        </is>
      </c>
      <c r="H21" s="31" t="inlineStr">
        <is>
          <t>Result(Main) / Return → 1_B002</t>
        </is>
      </c>
    </row>
    <row r="22">
      <c r="A22" s="24" t="inlineStr">
        <is>
          <t>O1-3</t>
        </is>
      </c>
      <c r="B22" s="15" t="inlineStr">
        <is>
          <t>3_O001 ⇄ 1_A001  (#1)</t>
        </is>
      </c>
      <c r="C22" s="28" t="inlineStr">
        <is>
          <t>Arrangement Contract Date</t>
        </is>
      </c>
      <c r="D22" s="28" t="inlineStr">
        <is>
          <t>DEPT CODE, System ID, Data Set Date</t>
        </is>
      </c>
      <c r="E22" s="29" t="inlineStr">
        <is>
          <t>FI Arrangement Number</t>
        </is>
      </c>
      <c r="F22" s="29" t="inlineStr">
        <is>
          <t>FI Arrangement Number</t>
        </is>
      </c>
      <c r="G22" s="30" t="inlineStr">
        <is>
          <t>Date + CCY + Amount + อื่นๆ</t>
        </is>
      </c>
      <c r="H22" s="31" t="inlineStr">
        <is>
          <t>Result(Main) / Return → 1_B003</t>
        </is>
      </c>
    </row>
    <row r="23">
      <c r="A23" s="24" t="inlineStr">
        <is>
          <t>O1-3</t>
        </is>
      </c>
      <c r="B23" s="15" t="inlineStr">
        <is>
          <t>3_O001 ⇄ 3_O003  (#2)</t>
        </is>
      </c>
      <c r="C23" s="28" t="inlineStr">
        <is>
          <t>Arrangement Contract Date</t>
        </is>
      </c>
      <c r="D23" s="28" t="inlineStr">
        <is>
          <t>CompositeOptSeqNum, Date</t>
        </is>
      </c>
      <c r="E23" s="29" t="inlineStr">
        <is>
          <t>FI Arrangement Number</t>
        </is>
      </c>
      <c r="F23" s="29" t="inlineStr">
        <is>
          <t>CompositeOptSeqNum</t>
        </is>
      </c>
      <c r="G23" s="30" t="inlineStr">
        <is>
          <t>Date + CCY + Amount + อื่นๆ</t>
        </is>
      </c>
      <c r="H23" s="31" t="inlineStr">
        <is>
          <t>Result(Main) / Return → 1_B003</t>
        </is>
      </c>
    </row>
    <row r="24">
      <c r="A24" s="24" t="inlineStr">
        <is>
          <t>O1-4</t>
        </is>
      </c>
      <c r="B24" s="15" t="inlineStr">
        <is>
          <t>3_O001 ⇄ 1_A002  (#1)</t>
        </is>
      </c>
      <c r="C24" s="28" t="inlineStr">
        <is>
          <t>Arrangement Contract Date</t>
        </is>
      </c>
      <c r="D24" s="28" t="inlineStr">
        <is>
          <t>DEPT CODE, Data Set Date</t>
        </is>
      </c>
      <c r="E24" s="29" t="inlineStr">
        <is>
          <t>FI Arrangement Number</t>
        </is>
      </c>
      <c r="F24" s="29" t="inlineStr">
        <is>
          <t>Arrangement Number</t>
        </is>
      </c>
      <c r="G24" s="30" t="inlineStr">
        <is>
          <t>Date + CCY + Amount + อื่นๆ</t>
        </is>
      </c>
      <c r="H24" s="31" t="inlineStr">
        <is>
          <t>Result(Main) / Return → 1_B004</t>
        </is>
      </c>
    </row>
    <row r="25">
      <c r="A25" s="24" t="inlineStr">
        <is>
          <t>O2-5</t>
        </is>
      </c>
      <c r="B25" s="15" t="inlineStr">
        <is>
          <t>3_O002 ⇄ 1_A005  (#1)</t>
        </is>
      </c>
      <c r="C25" s="28" t="inlineStr">
        <is>
          <t>Expired/Exercised</t>
        </is>
      </c>
      <c r="D25" s="28" t="inlineStr">
        <is>
          <t>DEPT CODE, System Id, Data Set Date</t>
        </is>
      </c>
      <c r="E25" s="29" t="inlineStr">
        <is>
          <t>OptionNum</t>
        </is>
      </c>
      <c r="F25" s="29" t="inlineStr">
        <is>
          <t>FI Arrangement Number</t>
        </is>
      </c>
      <c r="G25" s="30" t="inlineStr">
        <is>
          <t>Date + CCY + Amount + อื่นๆ</t>
        </is>
      </c>
      <c r="H25" s="31" t="inlineStr">
        <is>
          <t>Result(Main) / Return → 1_B002</t>
        </is>
      </c>
    </row>
    <row r="26">
      <c r="A26" s="24" t="inlineStr">
        <is>
          <t>O3-6</t>
        </is>
      </c>
      <c r="B26" s="15" t="inlineStr">
        <is>
          <t>3_O003 ⇄ 1_A008  (#1)</t>
        </is>
      </c>
      <c r="C26" s="28" t="inlineStr">
        <is>
          <t>CompositeOptSeqNum, Date</t>
        </is>
      </c>
      <c r="D26" s="28" t="inlineStr">
        <is>
          <t>Dept Code, System Id, Data Set Date</t>
        </is>
      </c>
      <c r="E26" s="29" t="inlineStr">
        <is>
          <t>CompositeOptSeqNum</t>
        </is>
      </c>
      <c r="F26" s="29" t="inlineStr">
        <is>
          <t>Reference Transaction Number</t>
        </is>
      </c>
      <c r="G26" s="30" t="inlineStr">
        <is>
          <t>Date + CCY + Amount + อื่นๆ</t>
        </is>
      </c>
      <c r="H26" s="31" t="inlineStr">
        <is>
          <t>Result(Main) / Return → 1_B008</t>
        </is>
      </c>
    </row>
    <row r="27">
      <c r="A27" s="24" t="inlineStr">
        <is>
          <t>C1-1</t>
        </is>
      </c>
      <c r="B27" s="15" t="inlineStr">
        <is>
          <t>1_A008 ⇄ 4_C001  (#1)</t>
        </is>
      </c>
      <c r="C27" s="28" t="inlineStr">
        <is>
          <t>Dept Code, System Id, Data Set Date</t>
        </is>
      </c>
      <c r="D27" s="28" t="inlineStr">
        <is>
          <t>-</t>
        </is>
      </c>
      <c r="E27" s="29" t="inlineStr">
        <is>
          <t>Reference Transaction Number</t>
        </is>
      </c>
      <c r="F27" s="29" t="inlineStr">
        <is>
          <t>Transaction No + DR/CR</t>
        </is>
      </c>
      <c r="G27" s="30" t="inlineStr">
        <is>
          <t>Date + CCY + Amount + อื่นๆ</t>
        </is>
      </c>
      <c r="H27" s="31" t="inlineStr">
        <is>
          <t>Result(Main) / Return → (compare only)</t>
        </is>
      </c>
    </row>
    <row r="28">
      <c r="A28" s="24" t="inlineStr">
        <is>
          <t>C1-2</t>
        </is>
      </c>
      <c r="B28" s="15" t="inlineStr">
        <is>
          <t>1_A008 ⇄ 4_C002  (#1)</t>
        </is>
      </c>
      <c r="C28" s="28" t="inlineStr">
        <is>
          <t>Dept Code, System Id, Data Set Date</t>
        </is>
      </c>
      <c r="D28" s="28" t="inlineStr">
        <is>
          <t>Settlement Date, Class, Ccy</t>
        </is>
      </c>
      <c r="E28" s="29" t="inlineStr">
        <is>
          <t>Reference Transaction Number</t>
        </is>
      </c>
      <c r="F28" s="29" t="inlineStr">
        <is>
          <t>Ccy + Notional</t>
        </is>
      </c>
      <c r="G28" s="30" t="inlineStr">
        <is>
          <t>Date + CCY + Amount + อื่นๆ</t>
        </is>
      </c>
      <c r="H28" s="31" t="inlineStr">
        <is>
          <t>Result(Main) / Return → (compare only)</t>
        </is>
      </c>
    </row>
    <row r="29">
      <c r="A29" s="24" t="inlineStr">
        <is>
          <t>C1-2</t>
        </is>
      </c>
      <c r="B29" s="15" t="inlineStr">
        <is>
          <t>1_A008 ⇄ 4_C003  (#2)</t>
        </is>
      </c>
      <c r="C29" s="28" t="inlineStr">
        <is>
          <t>Dept Code, System Id, Data Set Date</t>
        </is>
      </c>
      <c r="D29" s="28" t="inlineStr">
        <is>
          <t>Settlement Date, Status</t>
        </is>
      </c>
      <c r="E29" s="29" t="inlineStr">
        <is>
          <t>Reference Transaction Number</t>
        </is>
      </c>
      <c r="F29" s="29" t="inlineStr">
        <is>
          <t>Currency + Accrued Int</t>
        </is>
      </c>
      <c r="G29" s="30" t="inlineStr">
        <is>
          <t>Date + CCY + Amount + อื่นๆ</t>
        </is>
      </c>
      <c r="H29" s="31" t="inlineStr">
        <is>
          <t>Result(Main) / Return → (compare only)</t>
        </is>
      </c>
    </row>
    <row r="31" ht="46" customHeight="1">
      <c r="A31" s="27" t="inlineStr">
        <is>
          <t>Step1 Filter = กรองแถวในขอบเขต (วันที่/Dept/System/Type/Status)  •  Step2 Key Map = สร้างคีย์ (Ref + อื่นๆ) พร้อม Key Prep  •  Step3 Reconcile = เทียบ Date+CCY+Amount(+อื่นๆ) หลัง Normalize (ดู Field_Format)  •  Step4 = ฝั่ง Main ได้ "Result: Reconcile", ฝั่ง Map เขียน "Return: Reconcile" (ERROR Message) กลับไฟล์ 1_Bxxx</t>
        </is>
      </c>
    </row>
  </sheetData>
  <mergeCells count="3">
    <mergeCell ref="A31:H31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9" customWidth="1" min="4" max="4"/>
    <col width="9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16" customWidth="1" min="11" max="11"/>
    <col width="52" customWidth="1" min="12" max="12"/>
  </cols>
  <sheetData>
    <row r="1" ht="26" customHeight="1">
      <c r="A1" s="1" t="inlineStr">
        <is>
          <t>RECON DETAIL  —  Set D1-1 (Pattern 1) | จับคู่ Prepped Key, เทียบค่าหลัง Normalize (CCY + Amount(ABS) + Date(ISO))</t>
        </is>
      </c>
    </row>
    <row r="2" ht="34" customHeight="1">
      <c r="A2" s="2" t="inlineStr">
        <is>
          <t>ค่า Amount/Date ที่แสดง = หลัง Normalize แล้ว (Amount=ABS, Date=dd/mm/yyyy มาตรฐาน Tool) | Field Diff บอก field ที่ไม่ตรงจริง | ERROR Message → นำกลับไปแก้ที่ A1_System (ไฟล์ 1_B009)</t>
        </is>
      </c>
    </row>
    <row r="5" ht="30" customHeight="1">
      <c r="A5" s="19" t="inlineStr">
        <is>
          <t>Match Key</t>
        </is>
      </c>
      <c r="B5" s="19" t="inlineStr">
        <is>
          <t>In DB?</t>
        </is>
      </c>
      <c r="C5" s="19" t="inlineStr">
        <is>
          <t>In A1?</t>
        </is>
      </c>
      <c r="D5" s="19" t="inlineStr">
        <is>
          <t>DB CCY</t>
        </is>
      </c>
      <c r="E5" s="19" t="inlineStr">
        <is>
          <t>A1 CCY</t>
        </is>
      </c>
      <c r="F5" s="19" t="inlineStr">
        <is>
          <t>DB Amount (norm)</t>
        </is>
      </c>
      <c r="G5" s="19" t="inlineStr">
        <is>
          <t>A1 Amount (norm)</t>
        </is>
      </c>
      <c r="H5" s="19" t="inlineStr">
        <is>
          <t>DB Date (dd/mm/yyyy)</t>
        </is>
      </c>
      <c r="I5" s="19" t="inlineStr">
        <is>
          <t>A1 Date (dd/mm/yyyy)</t>
        </is>
      </c>
      <c r="J5" s="19" t="inlineStr">
        <is>
          <t>Field Diff</t>
        </is>
      </c>
      <c r="K5" s="19" t="inlineStr">
        <is>
          <t>Result / Status</t>
        </is>
      </c>
      <c r="L5" s="19" t="inlineStr">
        <is>
          <t>ERROR Message (→ fix in A1_System)</t>
        </is>
      </c>
    </row>
    <row r="6">
      <c r="A6" s="15" t="inlineStr">
        <is>
          <t>C0001</t>
        </is>
      </c>
      <c r="B6" s="22">
        <f>IF(COUNTIF(Sample_Data!$B$6:$B$9,A6)&gt;0,"YES","NO")</f>
        <v/>
      </c>
      <c r="C6" s="22">
        <f>IF(COUNTIF(Sample_Data!$M$6:$M$9,A6)&gt;0,"YES","NO")</f>
        <v/>
      </c>
      <c r="D6" s="32">
        <f>IFERROR(INDEX(Sample_Data!$C$6:$C$9,MATCH(A6,Sample_Data!$B$6:$B$9,0)),"")</f>
        <v/>
      </c>
      <c r="E6" s="32">
        <f>IFERROR(INDEX(Sample_Data!$J$6:$J$9,MATCH(A6,Sample_Data!$M$6:$M$9,0)),"")</f>
        <v/>
      </c>
      <c r="F6" s="33">
        <f>IFERROR(INDEX(Sample_Data!$F$6:$F$9,MATCH(A6,Sample_Data!$B$6:$B$9,0)),"")</f>
        <v/>
      </c>
      <c r="G6" s="33">
        <f>IFERROR(INDEX(Sample_Data!$N$6:$N$9,MATCH(A6,Sample_Data!$M$6:$M$9,0)),"")</f>
        <v/>
      </c>
      <c r="H6" s="32">
        <f>IFERROR(TEXT(DATEVALUE(INDEX(Sample_Data!$G$6:$G$9,MATCH(A6,Sample_Data!$B$6:$B$9,0))),"dd/mm/yyyy"),"")</f>
        <v/>
      </c>
      <c r="I6" s="32">
        <f>IFERROR(TEXT(DATEVALUE(INDEX(Sample_Data!$O$6:$O$9,MATCH(A6,Sample_Data!$M$6:$M$9,0))),"dd/mm/yyyy"),"")</f>
        <v/>
      </c>
      <c r="J6" s="32">
        <f>IF(AND(B6="YES",C6="YES"),TRIM(IF(D6&lt;&gt;E6,"CCY ","")&amp;IF(ABS(F6-G6)&gt;Tol,"Amount ","")&amp;IF(H6&lt;&gt;I6,"Date ","")),"")</f>
        <v/>
      </c>
      <c r="K6" s="18">
        <f>IF(AND(B6="YES",C6="NO"),"MISSING in A1",IF(AND(B6="NO",C6="YES"),"EXTRA in A1",IF(J6&lt;&gt;"","VALUE MISMATCH","OK / Matched")))</f>
        <v/>
      </c>
      <c r="L6" s="34">
        <f>IF(K6="MISSING in A1","มีใน Database แต่ขาดใน A1_System — บันทึกเพิ่มที่ A1_System",IF(K6="EXTRA in A1","พบใน A1_System แต่ไม่มีใน Database — ตรวจ/ลบรายการเกินที่ A1_System",IF(K6="VALUE MISMATCH","ค่าไม่ตรง ["&amp;J6&amp;"] DB(CCY="&amp;D6&amp;",Amt="&amp;TEXT(F6,"#,##0")&amp;",Dt="&amp;H6&amp;") vs A1(CCY="&amp;E6&amp;",Amt="&amp;TEXT(G6,"#,##0")&amp;",Dt="&amp;I6&amp;") — แก้ที่ A1_System","")))</f>
        <v/>
      </c>
    </row>
    <row r="7">
      <c r="A7" s="15" t="inlineStr">
        <is>
          <t>C0002</t>
        </is>
      </c>
      <c r="B7" s="22">
        <f>IF(COUNTIF(Sample_Data!$B$6:$B$9,A7)&gt;0,"YES","NO")</f>
        <v/>
      </c>
      <c r="C7" s="22">
        <f>IF(COUNTIF(Sample_Data!$M$6:$M$9,A7)&gt;0,"YES","NO")</f>
        <v/>
      </c>
      <c r="D7" s="32">
        <f>IFERROR(INDEX(Sample_Data!$C$6:$C$9,MATCH(A7,Sample_Data!$B$6:$B$9,0)),"")</f>
        <v/>
      </c>
      <c r="E7" s="32">
        <f>IFERROR(INDEX(Sample_Data!$J$6:$J$9,MATCH(A7,Sample_Data!$M$6:$M$9,0)),"")</f>
        <v/>
      </c>
      <c r="F7" s="33">
        <f>IFERROR(INDEX(Sample_Data!$F$6:$F$9,MATCH(A7,Sample_Data!$B$6:$B$9,0)),"")</f>
        <v/>
      </c>
      <c r="G7" s="33">
        <f>IFERROR(INDEX(Sample_Data!$N$6:$N$9,MATCH(A7,Sample_Data!$M$6:$M$9,0)),"")</f>
        <v/>
      </c>
      <c r="H7" s="32">
        <f>IFERROR(TEXT(DATEVALUE(INDEX(Sample_Data!$G$6:$G$9,MATCH(A7,Sample_Data!$B$6:$B$9,0))),"dd/mm/yyyy"),"")</f>
        <v/>
      </c>
      <c r="I7" s="32">
        <f>IFERROR(TEXT(DATEVALUE(INDEX(Sample_Data!$O$6:$O$9,MATCH(A7,Sample_Data!$M$6:$M$9,0))),"dd/mm/yyyy"),"")</f>
        <v/>
      </c>
      <c r="J7" s="32">
        <f>IF(AND(B7="YES",C7="YES"),TRIM(IF(D7&lt;&gt;E7,"CCY ","")&amp;IF(ABS(F7-G7)&gt;Tol,"Amount ","")&amp;IF(H7&lt;&gt;I7,"Date ","")),"")</f>
        <v/>
      </c>
      <c r="K7" s="18">
        <f>IF(AND(B7="YES",C7="NO"),"MISSING in A1",IF(AND(B7="NO",C7="YES"),"EXTRA in A1",IF(J7&lt;&gt;"","VALUE MISMATCH","OK / Matched")))</f>
        <v/>
      </c>
      <c r="L7" s="34">
        <f>IF(K7="MISSING in A1","มีใน Database แต่ขาดใน A1_System — บันทึกเพิ่มที่ A1_System",IF(K7="EXTRA in A1","พบใน A1_System แต่ไม่มีใน Database — ตรวจ/ลบรายการเกินที่ A1_System",IF(K7="VALUE MISMATCH","ค่าไม่ตรง ["&amp;J7&amp;"] DB(CCY="&amp;D7&amp;",Amt="&amp;TEXT(F7,"#,##0")&amp;",Dt="&amp;H7&amp;") vs A1(CCY="&amp;E7&amp;",Amt="&amp;TEXT(G7,"#,##0")&amp;",Dt="&amp;I7&amp;") — แก้ที่ A1_System","")))</f>
        <v/>
      </c>
    </row>
    <row r="8">
      <c r="A8" s="15" t="inlineStr">
        <is>
          <t>C0003</t>
        </is>
      </c>
      <c r="B8" s="22">
        <f>IF(COUNTIF(Sample_Data!$B$6:$B$9,A8)&gt;0,"YES","NO")</f>
        <v/>
      </c>
      <c r="C8" s="22">
        <f>IF(COUNTIF(Sample_Data!$M$6:$M$9,A8)&gt;0,"YES","NO")</f>
        <v/>
      </c>
      <c r="D8" s="32">
        <f>IFERROR(INDEX(Sample_Data!$C$6:$C$9,MATCH(A8,Sample_Data!$B$6:$B$9,0)),"")</f>
        <v/>
      </c>
      <c r="E8" s="32">
        <f>IFERROR(INDEX(Sample_Data!$J$6:$J$9,MATCH(A8,Sample_Data!$M$6:$M$9,0)),"")</f>
        <v/>
      </c>
      <c r="F8" s="33">
        <f>IFERROR(INDEX(Sample_Data!$F$6:$F$9,MATCH(A8,Sample_Data!$B$6:$B$9,0)),"")</f>
        <v/>
      </c>
      <c r="G8" s="33">
        <f>IFERROR(INDEX(Sample_Data!$N$6:$N$9,MATCH(A8,Sample_Data!$M$6:$M$9,0)),"")</f>
        <v/>
      </c>
      <c r="H8" s="32">
        <f>IFERROR(TEXT(DATEVALUE(INDEX(Sample_Data!$G$6:$G$9,MATCH(A8,Sample_Data!$B$6:$B$9,0))),"dd/mm/yyyy"),"")</f>
        <v/>
      </c>
      <c r="I8" s="32">
        <f>IFERROR(TEXT(DATEVALUE(INDEX(Sample_Data!$O$6:$O$9,MATCH(A8,Sample_Data!$M$6:$M$9,0))),"dd/mm/yyyy"),"")</f>
        <v/>
      </c>
      <c r="J8" s="32">
        <f>IF(AND(B8="YES",C8="YES"),TRIM(IF(D8&lt;&gt;E8,"CCY ","")&amp;IF(ABS(F8-G8)&gt;Tol,"Amount ","")&amp;IF(H8&lt;&gt;I8,"Date ","")),"")</f>
        <v/>
      </c>
      <c r="K8" s="18">
        <f>IF(AND(B8="YES",C8="NO"),"MISSING in A1",IF(AND(B8="NO",C8="YES"),"EXTRA in A1",IF(J8&lt;&gt;"","VALUE MISMATCH","OK / Matched")))</f>
        <v/>
      </c>
      <c r="L8" s="34">
        <f>IF(K8="MISSING in A1","มีใน Database แต่ขาดใน A1_System — บันทึกเพิ่มที่ A1_System",IF(K8="EXTRA in A1","พบใน A1_System แต่ไม่มีใน Database — ตรวจ/ลบรายการเกินที่ A1_System",IF(K8="VALUE MISMATCH","ค่าไม่ตรง ["&amp;J8&amp;"] DB(CCY="&amp;D8&amp;",Amt="&amp;TEXT(F8,"#,##0")&amp;",Dt="&amp;H8&amp;") vs A1(CCY="&amp;E8&amp;",Amt="&amp;TEXT(G8,"#,##0")&amp;",Dt="&amp;I8&amp;") — แก้ที่ A1_System","")))</f>
        <v/>
      </c>
    </row>
    <row r="9">
      <c r="A9" s="15" t="inlineStr">
        <is>
          <t>C0004</t>
        </is>
      </c>
      <c r="B9" s="22">
        <f>IF(COUNTIF(Sample_Data!$B$6:$B$9,A9)&gt;0,"YES","NO")</f>
        <v/>
      </c>
      <c r="C9" s="22">
        <f>IF(COUNTIF(Sample_Data!$M$6:$M$9,A9)&gt;0,"YES","NO")</f>
        <v/>
      </c>
      <c r="D9" s="32">
        <f>IFERROR(INDEX(Sample_Data!$C$6:$C$9,MATCH(A9,Sample_Data!$B$6:$B$9,0)),"")</f>
        <v/>
      </c>
      <c r="E9" s="32">
        <f>IFERROR(INDEX(Sample_Data!$J$6:$J$9,MATCH(A9,Sample_Data!$M$6:$M$9,0)),"")</f>
        <v/>
      </c>
      <c r="F9" s="33">
        <f>IFERROR(INDEX(Sample_Data!$F$6:$F$9,MATCH(A9,Sample_Data!$B$6:$B$9,0)),"")</f>
        <v/>
      </c>
      <c r="G9" s="33">
        <f>IFERROR(INDEX(Sample_Data!$N$6:$N$9,MATCH(A9,Sample_Data!$M$6:$M$9,0)),"")</f>
        <v/>
      </c>
      <c r="H9" s="32">
        <f>IFERROR(TEXT(DATEVALUE(INDEX(Sample_Data!$G$6:$G$9,MATCH(A9,Sample_Data!$B$6:$B$9,0))),"dd/mm/yyyy"),"")</f>
        <v/>
      </c>
      <c r="I9" s="32">
        <f>IFERROR(TEXT(DATEVALUE(INDEX(Sample_Data!$O$6:$O$9,MATCH(A9,Sample_Data!$M$6:$M$9,0))),"dd/mm/yyyy"),"")</f>
        <v/>
      </c>
      <c r="J9" s="32">
        <f>IF(AND(B9="YES",C9="YES"),TRIM(IF(D9&lt;&gt;E9,"CCY ","")&amp;IF(ABS(F9-G9)&gt;Tol,"Amount ","")&amp;IF(H9&lt;&gt;I9,"Date ","")),"")</f>
        <v/>
      </c>
      <c r="K9" s="18">
        <f>IF(AND(B9="YES",C9="NO"),"MISSING in A1",IF(AND(B9="NO",C9="YES"),"EXTRA in A1",IF(J9&lt;&gt;"","VALUE MISMATCH","OK / Matched")))</f>
        <v/>
      </c>
      <c r="L9" s="34">
        <f>IF(K9="MISSING in A1","มีใน Database แต่ขาดใน A1_System — บันทึกเพิ่มที่ A1_System",IF(K9="EXTRA in A1","พบใน A1_System แต่ไม่มีใน Database — ตรวจ/ลบรายการเกินที่ A1_System",IF(K9="VALUE MISMATCH","ค่าไม่ตรง ["&amp;J9&amp;"] DB(CCY="&amp;D9&amp;",Amt="&amp;TEXT(F9,"#,##0")&amp;",Dt="&amp;H9&amp;") vs A1(CCY="&amp;E9&amp;",Amt="&amp;TEXT(G9,"#,##0")&amp;",Dt="&amp;I9&amp;") — แก้ที่ A1_System","")))</f>
        <v/>
      </c>
    </row>
    <row r="10">
      <c r="A10" s="15" t="inlineStr">
        <is>
          <t>C0005</t>
        </is>
      </c>
      <c r="B10" s="22">
        <f>IF(COUNTIF(Sample_Data!$B$6:$B$9,A10)&gt;0,"YES","NO")</f>
        <v/>
      </c>
      <c r="C10" s="22">
        <f>IF(COUNTIF(Sample_Data!$M$6:$M$9,A10)&gt;0,"YES","NO")</f>
        <v/>
      </c>
      <c r="D10" s="32">
        <f>IFERROR(INDEX(Sample_Data!$C$6:$C$9,MATCH(A10,Sample_Data!$B$6:$B$9,0)),"")</f>
        <v/>
      </c>
      <c r="E10" s="32">
        <f>IFERROR(INDEX(Sample_Data!$J$6:$J$9,MATCH(A10,Sample_Data!$M$6:$M$9,0)),"")</f>
        <v/>
      </c>
      <c r="F10" s="33">
        <f>IFERROR(INDEX(Sample_Data!$F$6:$F$9,MATCH(A10,Sample_Data!$B$6:$B$9,0)),"")</f>
        <v/>
      </c>
      <c r="G10" s="33">
        <f>IFERROR(INDEX(Sample_Data!$N$6:$N$9,MATCH(A10,Sample_Data!$M$6:$M$9,0)),"")</f>
        <v/>
      </c>
      <c r="H10" s="32">
        <f>IFERROR(TEXT(DATEVALUE(INDEX(Sample_Data!$G$6:$G$9,MATCH(A10,Sample_Data!$B$6:$B$9,0))),"dd/mm/yyyy"),"")</f>
        <v/>
      </c>
      <c r="I10" s="32">
        <f>IFERROR(TEXT(DATEVALUE(INDEX(Sample_Data!$O$6:$O$9,MATCH(A10,Sample_Data!$M$6:$M$9,0))),"dd/mm/yyyy"),"")</f>
        <v/>
      </c>
      <c r="J10" s="32">
        <f>IF(AND(B10="YES",C10="YES"),TRIM(IF(D10&lt;&gt;E10,"CCY ","")&amp;IF(ABS(F10-G10)&gt;Tol,"Amount ","")&amp;IF(H10&lt;&gt;I10,"Date ","")),"")</f>
        <v/>
      </c>
      <c r="K10" s="18">
        <f>IF(AND(B10="YES",C10="NO"),"MISSING in A1",IF(AND(B10="NO",C10="YES"),"EXTRA in A1",IF(J10&lt;&gt;"","VALUE MISMATCH","OK / Matched")))</f>
        <v/>
      </c>
      <c r="L10" s="34">
        <f>IF(K10="MISSING in A1","มีใน Database แต่ขาดใน A1_System — บันทึกเพิ่มที่ A1_System",IF(K10="EXTRA in A1","พบใน A1_System แต่ไม่มีใน Database — ตรวจ/ลบรายการเกินที่ A1_System",IF(K10="VALUE MISMATCH","ค่าไม่ตรง ["&amp;J10&amp;"] DB(CCY="&amp;D10&amp;",Amt="&amp;TEXT(F10,"#,##0")&amp;",Dt="&amp;H10&amp;") vs A1(CCY="&amp;E10&amp;",Amt="&amp;TEXT(G10,"#,##0")&amp;",Dt="&amp;I10&amp;") — แก้ที่ A1_System","")))</f>
        <v/>
      </c>
    </row>
  </sheetData>
  <mergeCells count="2">
    <mergeCell ref="A2:L2"/>
    <mergeCell ref="A1:L1"/>
  </mergeCells>
  <conditionalFormatting sqref="A6:L10">
    <cfRule type="expression" priority="1" dxfId="2">
      <formula>$K6="OK / Matched"</formula>
    </cfRule>
    <cfRule type="expression" priority="2" dxfId="1">
      <formula>OR($K6="EXTRA in A1",$K6="MISSING in A1")</formula>
    </cfRule>
    <cfRule type="expression" priority="3" dxfId="3">
      <formula>$K6="VALUE MISMATCH"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7" customWidth="1" min="3" max="3"/>
    <col width="13" customWidth="1" min="4" max="4"/>
    <col width="14" customWidth="1" min="5" max="5"/>
    <col width="13" customWidth="1" min="6" max="6"/>
    <col width="13" customWidth="1" min="7" max="7"/>
    <col width="3" customWidth="1" min="8" max="8"/>
    <col width="16" customWidth="1" min="9" max="9"/>
    <col width="7" customWidth="1" min="10" max="10"/>
    <col width="13" customWidth="1" min="11" max="11"/>
    <col width="13" customWidth="1" min="12" max="12"/>
    <col width="11" customWidth="1" min="13" max="13"/>
    <col width="13" customWidth="1" min="14" max="14"/>
    <col width="13" customWidth="1" min="15" max="15"/>
  </cols>
  <sheetData>
    <row r="1" ht="26" customHeight="1">
      <c r="A1" s="1" t="inlineStr">
        <is>
          <t>SAMPLE DATA  —  Set D1-1 (2_D001 ⇄ 1_A009): Key Prep + Date/Number Normalization</t>
        </is>
      </c>
    </row>
    <row r="2" ht="34" customHeight="1">
      <c r="A2" s="2" t="inlineStr">
        <is>
          <t>DB เก็บวันที่เป็น NUMBER(yyyymmdd) | A1 เก็บเป็น TEXT(dd/mm/yyyy) | จำนวนเงินมีเครื่องหมายลบต่างกัน → ต้อง Normalize ก่อนเทียบ | คอลัมน์เขียว = ค่าหลัง Normalize (canonical ISO / ABS)</t>
        </is>
      </c>
    </row>
    <row r="4">
      <c r="B4" s="35" t="inlineStr">
        <is>
          <t>ตาราง A : Database 2_D001  (TRADE_DATE = NUMBER yyyymmdd)</t>
        </is>
      </c>
      <c r="I4" s="36" t="inlineStr">
        <is>
          <t>ตาราง B : A1_System 1_A009  (Data Set Date = TEXT dd/mm/yyyy) — คอลัมน์เขียว = Prep/Normalize</t>
        </is>
      </c>
    </row>
    <row r="5" ht="30" customHeight="1">
      <c r="B5" s="37" t="inlineStr">
        <is>
          <t>TRADE_REF (Key)</t>
        </is>
      </c>
      <c r="C5" s="37" t="inlineStr">
        <is>
          <t>CCY</t>
        </is>
      </c>
      <c r="D5" s="37" t="inlineStr">
        <is>
          <t>Amount (raw)</t>
        </is>
      </c>
      <c r="E5" s="37" t="inlineStr">
        <is>
          <t>TRADE_DATE (raw)</t>
        </is>
      </c>
      <c r="F5" s="37" t="inlineStr">
        <is>
          <t>Norm Amt (ABS)</t>
        </is>
      </c>
      <c r="G5" s="37" t="inlineStr">
        <is>
          <t>Norm Date (ISO)</t>
        </is>
      </c>
      <c r="I5" s="38" t="inlineStr">
        <is>
          <t>Raw Key</t>
        </is>
      </c>
      <c r="J5" s="38" t="inlineStr">
        <is>
          <t>CCY</t>
        </is>
      </c>
      <c r="K5" s="38" t="inlineStr">
        <is>
          <t>Amount (raw)</t>
        </is>
      </c>
      <c r="L5" s="38" t="inlineStr">
        <is>
          <t>Date (raw text)</t>
        </is>
      </c>
      <c r="M5" s="38" t="inlineStr">
        <is>
          <t>Prepped Key</t>
        </is>
      </c>
      <c r="N5" s="38" t="inlineStr">
        <is>
          <t>Norm Amt (ABS)</t>
        </is>
      </c>
      <c r="O5" s="38" t="inlineStr">
        <is>
          <t>Norm Date (ISO)</t>
        </is>
      </c>
    </row>
    <row r="6">
      <c r="B6" s="32" t="inlineStr">
        <is>
          <t>C0001</t>
        </is>
      </c>
      <c r="C6" s="22" t="inlineStr">
        <is>
          <t>USD</t>
        </is>
      </c>
      <c r="D6" s="33" t="n">
        <v>1000000</v>
      </c>
      <c r="E6" s="22" t="n">
        <v>20260530</v>
      </c>
      <c r="F6" s="39">
        <f>ABS(D6)</f>
        <v/>
      </c>
      <c r="G6" s="40">
        <f>TEXT(DATE(INT(E6/10000),INT(MOD(E6,10000)/100),MOD(E6,100)),"yyyy-mm-dd")</f>
        <v/>
      </c>
      <c r="I6" s="32" t="inlineStr">
        <is>
          <t>KT20260530C0001</t>
        </is>
      </c>
      <c r="J6" s="22" t="inlineStr">
        <is>
          <t>USD</t>
        </is>
      </c>
      <c r="K6" s="41" t="n">
        <v>-1000000</v>
      </c>
      <c r="L6" s="22" t="inlineStr">
        <is>
          <t>30/05/2026</t>
        </is>
      </c>
      <c r="M6" s="40">
        <f>MID(I6,FIND("C",I6),100)</f>
        <v/>
      </c>
      <c r="N6" s="39">
        <f>ABS(K6)</f>
        <v/>
      </c>
      <c r="O6" s="40">
        <f>TEXT(DATE(VALUE(RIGHT(L6,4)),VALUE(MID(L6,4,2)),VALUE(LEFT(L6,2))),"yyyy-mm-dd")</f>
        <v/>
      </c>
    </row>
    <row r="7">
      <c r="B7" s="32" t="inlineStr">
        <is>
          <t>C0002</t>
        </is>
      </c>
      <c r="C7" s="22" t="inlineStr">
        <is>
          <t>USD</t>
        </is>
      </c>
      <c r="D7" s="33" t="n">
        <v>2000000</v>
      </c>
      <c r="E7" s="22" t="n">
        <v>20260530</v>
      </c>
      <c r="F7" s="39">
        <f>ABS(D7)</f>
        <v/>
      </c>
      <c r="G7" s="40">
        <f>TEXT(DATE(INT(E7/10000),INT(MOD(E7,10000)/100),MOD(E7,100)),"yyyy-mm-dd")</f>
        <v/>
      </c>
      <c r="I7" s="32" t="inlineStr">
        <is>
          <t>KT20260530C0002</t>
        </is>
      </c>
      <c r="J7" s="22" t="inlineStr">
        <is>
          <t>USD</t>
        </is>
      </c>
      <c r="K7" s="41" t="n">
        <v>2050000</v>
      </c>
      <c r="L7" s="22" t="inlineStr">
        <is>
          <t>30/05/2026</t>
        </is>
      </c>
      <c r="M7" s="40">
        <f>MID(I7,FIND("C",I7),100)</f>
        <v/>
      </c>
      <c r="N7" s="39">
        <f>ABS(K7)</f>
        <v/>
      </c>
      <c r="O7" s="40">
        <f>TEXT(DATE(VALUE(RIGHT(L7,4)),VALUE(MID(L7,4,2)),VALUE(LEFT(L7,2))),"yyyy-mm-dd")</f>
        <v/>
      </c>
    </row>
    <row r="8">
      <c r="B8" s="32" t="inlineStr">
        <is>
          <t>C0003</t>
        </is>
      </c>
      <c r="C8" s="22" t="inlineStr">
        <is>
          <t>EUR</t>
        </is>
      </c>
      <c r="D8" s="33" t="n">
        <v>1500000</v>
      </c>
      <c r="E8" s="22" t="n">
        <v>20260530</v>
      </c>
      <c r="F8" s="39">
        <f>ABS(D8)</f>
        <v/>
      </c>
      <c r="G8" s="40">
        <f>TEXT(DATE(INT(E8/10000),INT(MOD(E8,10000)/100),MOD(E8,100)),"yyyy-mm-dd")</f>
        <v/>
      </c>
      <c r="I8" s="32" t="inlineStr">
        <is>
          <t>KT20260530C0003</t>
        </is>
      </c>
      <c r="J8" s="22" t="inlineStr">
        <is>
          <t>EUR</t>
        </is>
      </c>
      <c r="K8" s="41" t="n">
        <v>1500000</v>
      </c>
      <c r="L8" s="22" t="inlineStr">
        <is>
          <t>29/05/2026</t>
        </is>
      </c>
      <c r="M8" s="40">
        <f>MID(I8,FIND("C",I8),100)</f>
        <v/>
      </c>
      <c r="N8" s="39">
        <f>ABS(K8)</f>
        <v/>
      </c>
      <c r="O8" s="40">
        <f>TEXT(DATE(VALUE(RIGHT(L8,4)),VALUE(MID(L8,4,2)),VALUE(LEFT(L8,2))),"yyyy-mm-dd")</f>
        <v/>
      </c>
    </row>
    <row r="9">
      <c r="B9" s="32" t="inlineStr">
        <is>
          <t>C0004</t>
        </is>
      </c>
      <c r="C9" s="22" t="inlineStr">
        <is>
          <t>JPY</t>
        </is>
      </c>
      <c r="D9" s="33" t="n">
        <v>3000000</v>
      </c>
      <c r="E9" s="22" t="n">
        <v>20260530</v>
      </c>
      <c r="F9" s="39">
        <f>ABS(D9)</f>
        <v/>
      </c>
      <c r="G9" s="40">
        <f>TEXT(DATE(INT(E9/10000),INT(MOD(E9,10000)/100),MOD(E9,100)),"yyyy-mm-dd")</f>
        <v/>
      </c>
      <c r="I9" s="32" t="inlineStr">
        <is>
          <t>KT20260530C0005</t>
        </is>
      </c>
      <c r="J9" s="22" t="inlineStr">
        <is>
          <t>GBP</t>
        </is>
      </c>
      <c r="K9" s="41" t="n">
        <v>800000</v>
      </c>
      <c r="L9" s="22" t="inlineStr">
        <is>
          <t>30/05/2026</t>
        </is>
      </c>
      <c r="M9" s="40">
        <f>MID(I9,FIND("C",I9),100)</f>
        <v/>
      </c>
      <c r="N9" s="39">
        <f>ABS(K9)</f>
        <v/>
      </c>
      <c r="O9" s="40">
        <f>TEXT(DATE(VALUE(RIGHT(L9,4)),VALUE(MID(L9,4,2)),VALUE(LEFT(L9,2))),"yyyy-mm-dd")</f>
        <v/>
      </c>
    </row>
    <row r="12">
      <c r="B12" s="42" t="inlineStr">
        <is>
          <t>Normalize ก่อนเทียบ:  C0001 = OK (DB amt 1,000,000 vs A1 -1,000,000 → ABS ตรง; วันที่คนละ format → ISO ตรง)  |  C0002 = MISMATCH(Amount จริง)  |  C0003 = MISMATCH(Date จริง 29 vs 30)  |  C0004 = MISSING in A1  |  C0005 = EXTRA in A1</t>
        </is>
      </c>
    </row>
    <row r="13"/>
  </sheetData>
  <mergeCells count="5">
    <mergeCell ref="A1:M1"/>
    <mergeCell ref="B12:O13"/>
    <mergeCell ref="B4:G4"/>
    <mergeCell ref="I4:O4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2" customWidth="1" min="4" max="4"/>
    <col width="30" customWidth="1" min="5" max="5"/>
    <col width="26" customWidth="1" min="6" max="6"/>
    <col width="26" customWidth="1" min="7" max="7"/>
    <col width="26" customWidth="1" min="8" max="8"/>
  </cols>
  <sheetData>
    <row r="1" ht="26" customHeight="1">
      <c r="A1" s="1" t="inlineStr">
        <is>
          <t>FIELD FORMAT  —  แผนที่ Normalize ค่า Date &amp; Number ต่อ (Source, Field)</t>
        </is>
      </c>
    </row>
    <row r="2" ht="34" customHeight="1">
      <c r="A2" s="2" t="inlineStr">
        <is>
          <t>Tool มาตรฐาน: Date = dd/mm/yyyy (internal canonical = ISO yyyy-mm-dd) | Number = ตัวเลขล้วน (ABS/แยกเครื่องหมาย) | Engine ต้อง Normalize ค่าให้เป็น canonical ก่อนเทียบทุกครั้ง  |  ช่องเหลือง = config โปรดยืนยัน, ⚠️ = ค่า default</t>
        </is>
      </c>
    </row>
    <row r="4" ht="30" customHeight="1">
      <c r="A4" s="19" t="inlineStr">
        <is>
          <t>Source</t>
        </is>
      </c>
      <c r="B4" s="19" t="inlineStr">
        <is>
          <t>Field</t>
        </is>
      </c>
      <c r="C4" s="19" t="inlineStr">
        <is>
          <t>Logical Role</t>
        </is>
      </c>
      <c r="D4" s="19" t="inlineStr">
        <is>
          <t>Source Format (raw) ⚠️</t>
        </is>
      </c>
      <c r="E4" s="19" t="inlineStr">
        <is>
          <t>Normalization Rule ⚠️</t>
        </is>
      </c>
      <c r="F4" s="19" t="inlineStr">
        <is>
          <t>Compare As (canonical)</t>
        </is>
      </c>
      <c r="G4" s="19" t="inlineStr">
        <is>
          <t>Example (raw → canonical)</t>
        </is>
      </c>
      <c r="H4" s="19" t="inlineStr">
        <is>
          <t>Notes</t>
        </is>
      </c>
    </row>
    <row r="5">
      <c r="A5" s="21" t="inlineStr">
        <is>
          <t>2_D001</t>
        </is>
      </c>
      <c r="B5" s="21" t="inlineStr">
        <is>
          <t>TRADE_DATE</t>
        </is>
      </c>
      <c r="C5" s="43" t="inlineStr">
        <is>
          <t>Date</t>
        </is>
      </c>
      <c r="D5" s="26" t="inlineStr">
        <is>
          <t>NUMBER : yyyymmdd</t>
        </is>
      </c>
      <c r="E5" s="26" t="inlineStr">
        <is>
          <t>PARSE_DATE → ISO</t>
        </is>
      </c>
      <c r="F5" s="21" t="inlineStr">
        <is>
          <t>ISO yyyy-mm-dd (แสดง dd/mm/yyyy)</t>
        </is>
      </c>
      <c r="G5" s="21" t="inlineStr">
        <is>
          <t>20260530 → 2026-05-30</t>
        </is>
      </c>
      <c r="H5" s="21" t="inlineStr">
        <is>
          <t>live demo</t>
        </is>
      </c>
    </row>
    <row r="6">
      <c r="A6" s="21" t="inlineStr">
        <is>
          <t>2_D002</t>
        </is>
      </c>
      <c r="B6" s="21" t="inlineStr">
        <is>
          <t>Data Set Date</t>
        </is>
      </c>
      <c r="C6" s="43" t="inlineStr">
        <is>
          <t>Date</t>
        </is>
      </c>
      <c r="D6" s="26" t="inlineStr">
        <is>
          <t>DATE ⚠️</t>
        </is>
      </c>
      <c r="E6" s="26" t="inlineStr">
        <is>
          <t>PARSE_DATE → ISO</t>
        </is>
      </c>
      <c r="F6" s="21" t="inlineStr">
        <is>
          <t>ISO yyyy-mm-dd (แสดง dd/mm/yyyy)</t>
        </is>
      </c>
      <c r="G6" s="21" t="inlineStr">
        <is>
          <t>— → 2026-05-30</t>
        </is>
      </c>
      <c r="H6" s="21" t="inlineStr">
        <is>
          <t>ยืนยัน format จริงของไฟล์</t>
        </is>
      </c>
    </row>
    <row r="7">
      <c r="A7" s="21" t="inlineStr">
        <is>
          <t>2_D003</t>
        </is>
      </c>
      <c r="B7" s="21" t="inlineStr">
        <is>
          <t>Date</t>
        </is>
      </c>
      <c r="C7" s="43" t="inlineStr">
        <is>
          <t>Date</t>
        </is>
      </c>
      <c r="D7" s="26" t="inlineStr">
        <is>
          <t>DATE ⚠️</t>
        </is>
      </c>
      <c r="E7" s="26" t="inlineStr">
        <is>
          <t>PARSE_DATE → ISO</t>
        </is>
      </c>
      <c r="F7" s="21" t="inlineStr">
        <is>
          <t>ISO yyyy-mm-dd (แสดง dd/mm/yyyy)</t>
        </is>
      </c>
      <c r="G7" s="21" t="inlineStr">
        <is>
          <t>— → 2026-05-30</t>
        </is>
      </c>
      <c r="H7" s="21" t="inlineStr">
        <is>
          <t>ยืนยัน format จริงของไฟล์</t>
        </is>
      </c>
    </row>
    <row r="8">
      <c r="A8" s="21" t="inlineStr">
        <is>
          <t>3_O001</t>
        </is>
      </c>
      <c r="B8" s="21" t="inlineStr">
        <is>
          <t>Arrangement Contract Date</t>
        </is>
      </c>
      <c r="C8" s="43" t="inlineStr">
        <is>
          <t>Date</t>
        </is>
      </c>
      <c r="D8" s="26" t="inlineStr">
        <is>
          <t>DATE ⚠️</t>
        </is>
      </c>
      <c r="E8" s="26" t="inlineStr">
        <is>
          <t>PARSE_DATE → ISO</t>
        </is>
      </c>
      <c r="F8" s="21" t="inlineStr">
        <is>
          <t>ISO yyyy-mm-dd (แสดง dd/mm/yyyy)</t>
        </is>
      </c>
      <c r="G8" s="21" t="inlineStr">
        <is>
          <t>— → 2026-05-30</t>
        </is>
      </c>
      <c r="H8" s="21" t="inlineStr">
        <is>
          <t>ยืนยัน format จริงของไฟล์</t>
        </is>
      </c>
    </row>
    <row r="9">
      <c r="A9" s="21" t="inlineStr">
        <is>
          <t>3_O003</t>
        </is>
      </c>
      <c r="B9" s="21" t="inlineStr">
        <is>
          <t>Date</t>
        </is>
      </c>
      <c r="C9" s="43" t="inlineStr">
        <is>
          <t>Date</t>
        </is>
      </c>
      <c r="D9" s="26" t="inlineStr">
        <is>
          <t>DATE ⚠️</t>
        </is>
      </c>
      <c r="E9" s="26" t="inlineStr">
        <is>
          <t>PARSE_DATE → ISO</t>
        </is>
      </c>
      <c r="F9" s="21" t="inlineStr">
        <is>
          <t>ISO yyyy-mm-dd (แสดง dd/mm/yyyy)</t>
        </is>
      </c>
      <c r="G9" s="21" t="inlineStr">
        <is>
          <t>— → 2026-05-30</t>
        </is>
      </c>
      <c r="H9" s="21" t="inlineStr">
        <is>
          <t>ยืนยัน format จริงของไฟล์</t>
        </is>
      </c>
    </row>
    <row r="10">
      <c r="A10" s="21" t="inlineStr">
        <is>
          <t>4_C002</t>
        </is>
      </c>
      <c r="B10" s="21" t="inlineStr">
        <is>
          <t>Settlement Date</t>
        </is>
      </c>
      <c r="C10" s="43" t="inlineStr">
        <is>
          <t>Date</t>
        </is>
      </c>
      <c r="D10" s="26" t="inlineStr">
        <is>
          <t>DATE ⚠️</t>
        </is>
      </c>
      <c r="E10" s="26" t="inlineStr">
        <is>
          <t>PARSE_DATE → ISO</t>
        </is>
      </c>
      <c r="F10" s="21" t="inlineStr">
        <is>
          <t>ISO yyyy-mm-dd (แสดง dd/mm/yyyy)</t>
        </is>
      </c>
      <c r="G10" s="21" t="inlineStr">
        <is>
          <t>— → 2026-05-30</t>
        </is>
      </c>
      <c r="H10" s="21" t="inlineStr">
        <is>
          <t>ยืนยัน format จริงของไฟล์</t>
        </is>
      </c>
    </row>
    <row r="11">
      <c r="A11" s="21" t="inlineStr">
        <is>
          <t>4_C003</t>
        </is>
      </c>
      <c r="B11" s="21" t="inlineStr">
        <is>
          <t>Settlement Date</t>
        </is>
      </c>
      <c r="C11" s="43" t="inlineStr">
        <is>
          <t>Date</t>
        </is>
      </c>
      <c r="D11" s="26" t="inlineStr">
        <is>
          <t>DATE ⚠️</t>
        </is>
      </c>
      <c r="E11" s="26" t="inlineStr">
        <is>
          <t>PARSE_DATE → ISO</t>
        </is>
      </c>
      <c r="F11" s="21" t="inlineStr">
        <is>
          <t>ISO yyyy-mm-dd (แสดง dd/mm/yyyy)</t>
        </is>
      </c>
      <c r="G11" s="21" t="inlineStr">
        <is>
          <t>— → 2026-05-30</t>
        </is>
      </c>
      <c r="H11" s="21" t="inlineStr">
        <is>
          <t>ยืนยัน format จริงของไฟล์</t>
        </is>
      </c>
    </row>
    <row r="12">
      <c r="A12" s="21" t="inlineStr">
        <is>
          <t>1_A001</t>
        </is>
      </c>
      <c r="B12" s="21" t="inlineStr">
        <is>
          <t>Data Set Date</t>
        </is>
      </c>
      <c r="C12" s="43" t="inlineStr">
        <is>
          <t>Date</t>
        </is>
      </c>
      <c r="D12" s="26" t="inlineStr">
        <is>
          <t>DATE ⚠️</t>
        </is>
      </c>
      <c r="E12" s="26" t="inlineStr">
        <is>
          <t>PARSE_DATE → ISO</t>
        </is>
      </c>
      <c r="F12" s="21" t="inlineStr">
        <is>
          <t>ISO yyyy-mm-dd (แสดง dd/mm/yyyy)</t>
        </is>
      </c>
      <c r="G12" s="21" t="inlineStr">
        <is>
          <t>— → 2026-05-30</t>
        </is>
      </c>
      <c r="H12" s="21" t="inlineStr">
        <is>
          <t>ยืนยัน format จริงของไฟล์</t>
        </is>
      </c>
    </row>
    <row r="13">
      <c r="A13" s="21" t="inlineStr">
        <is>
          <t>1_A002</t>
        </is>
      </c>
      <c r="B13" s="21" t="inlineStr">
        <is>
          <t>Data Set Date</t>
        </is>
      </c>
      <c r="C13" s="43" t="inlineStr">
        <is>
          <t>Date</t>
        </is>
      </c>
      <c r="D13" s="26" t="inlineStr">
        <is>
          <t>DATE ⚠️</t>
        </is>
      </c>
      <c r="E13" s="26" t="inlineStr">
        <is>
          <t>PARSE_DATE → ISO</t>
        </is>
      </c>
      <c r="F13" s="21" t="inlineStr">
        <is>
          <t>ISO yyyy-mm-dd (แสดง dd/mm/yyyy)</t>
        </is>
      </c>
      <c r="G13" s="21" t="inlineStr">
        <is>
          <t>— → 2026-05-30</t>
        </is>
      </c>
      <c r="H13" s="21" t="inlineStr">
        <is>
          <t>ยืนยัน format จริงของไฟล์</t>
        </is>
      </c>
    </row>
    <row r="14">
      <c r="A14" s="21" t="inlineStr">
        <is>
          <t>1_A003</t>
        </is>
      </c>
      <c r="B14" s="21" t="inlineStr">
        <is>
          <t>Data Set Date</t>
        </is>
      </c>
      <c r="C14" s="43" t="inlineStr">
        <is>
          <t>Date</t>
        </is>
      </c>
      <c r="D14" s="26" t="inlineStr">
        <is>
          <t>DATE ⚠️</t>
        </is>
      </c>
      <c r="E14" s="26" t="inlineStr">
        <is>
          <t>PARSE_DATE → ISO</t>
        </is>
      </c>
      <c r="F14" s="21" t="inlineStr">
        <is>
          <t>ISO yyyy-mm-dd (แสดง dd/mm/yyyy)</t>
        </is>
      </c>
      <c r="G14" s="21" t="inlineStr">
        <is>
          <t>— → 2026-05-30</t>
        </is>
      </c>
      <c r="H14" s="21" t="inlineStr">
        <is>
          <t>ยืนยัน format จริงของไฟล์</t>
        </is>
      </c>
    </row>
    <row r="15">
      <c r="A15" s="21" t="inlineStr">
        <is>
          <t>1_A004</t>
        </is>
      </c>
      <c r="B15" s="21" t="inlineStr">
        <is>
          <t>Data Set Date</t>
        </is>
      </c>
      <c r="C15" s="43" t="inlineStr">
        <is>
          <t>Date</t>
        </is>
      </c>
      <c r="D15" s="26" t="inlineStr">
        <is>
          <t>DATE ⚠️</t>
        </is>
      </c>
      <c r="E15" s="26" t="inlineStr">
        <is>
          <t>PARSE_DATE → ISO</t>
        </is>
      </c>
      <c r="F15" s="21" t="inlineStr">
        <is>
          <t>ISO yyyy-mm-dd (แสดง dd/mm/yyyy)</t>
        </is>
      </c>
      <c r="G15" s="21" t="inlineStr">
        <is>
          <t>— → 2026-05-30</t>
        </is>
      </c>
      <c r="H15" s="21" t="inlineStr">
        <is>
          <t>ยืนยัน format จริงของไฟล์</t>
        </is>
      </c>
    </row>
    <row r="16">
      <c r="A16" s="21" t="inlineStr">
        <is>
          <t>1_A005</t>
        </is>
      </c>
      <c r="B16" s="21" t="inlineStr">
        <is>
          <t>Data Set Date</t>
        </is>
      </c>
      <c r="C16" s="43" t="inlineStr">
        <is>
          <t>Date</t>
        </is>
      </c>
      <c r="D16" s="26" t="inlineStr">
        <is>
          <t>DATE ⚠️</t>
        </is>
      </c>
      <c r="E16" s="26" t="inlineStr">
        <is>
          <t>PARSE_DATE → ISO</t>
        </is>
      </c>
      <c r="F16" s="21" t="inlineStr">
        <is>
          <t>ISO yyyy-mm-dd (แสดง dd/mm/yyyy)</t>
        </is>
      </c>
      <c r="G16" s="21" t="inlineStr">
        <is>
          <t>— → 2026-05-30</t>
        </is>
      </c>
      <c r="H16" s="21" t="inlineStr">
        <is>
          <t>ยืนยัน format จริงของไฟล์</t>
        </is>
      </c>
    </row>
    <row r="17">
      <c r="A17" s="21" t="inlineStr">
        <is>
          <t>1_A006</t>
        </is>
      </c>
      <c r="B17" s="21" t="inlineStr">
        <is>
          <t>Data Set Date</t>
        </is>
      </c>
      <c r="C17" s="43" t="inlineStr">
        <is>
          <t>Date</t>
        </is>
      </c>
      <c r="D17" s="26" t="inlineStr">
        <is>
          <t>DATE ⚠️</t>
        </is>
      </c>
      <c r="E17" s="26" t="inlineStr">
        <is>
          <t>PARSE_DATE → ISO</t>
        </is>
      </c>
      <c r="F17" s="21" t="inlineStr">
        <is>
          <t>ISO yyyy-mm-dd (แสดง dd/mm/yyyy)</t>
        </is>
      </c>
      <c r="G17" s="21" t="inlineStr">
        <is>
          <t>— → 2026-05-30</t>
        </is>
      </c>
      <c r="H17" s="21" t="inlineStr">
        <is>
          <t>ยืนยัน format จริงของไฟล์</t>
        </is>
      </c>
    </row>
    <row r="18">
      <c r="A18" s="21" t="inlineStr">
        <is>
          <t>1_A007</t>
        </is>
      </c>
      <c r="B18" s="21" t="inlineStr">
        <is>
          <t>Data Set Date</t>
        </is>
      </c>
      <c r="C18" s="43" t="inlineStr">
        <is>
          <t>Date</t>
        </is>
      </c>
      <c r="D18" s="26" t="inlineStr">
        <is>
          <t>DATE ⚠️</t>
        </is>
      </c>
      <c r="E18" s="26" t="inlineStr">
        <is>
          <t>PARSE_DATE → ISO</t>
        </is>
      </c>
      <c r="F18" s="21" t="inlineStr">
        <is>
          <t>ISO yyyy-mm-dd (แสดง dd/mm/yyyy)</t>
        </is>
      </c>
      <c r="G18" s="21" t="inlineStr">
        <is>
          <t>— → 2026-05-30</t>
        </is>
      </c>
      <c r="H18" s="21" t="inlineStr">
        <is>
          <t>ยืนยัน format จริงของไฟล์</t>
        </is>
      </c>
    </row>
    <row r="19">
      <c r="A19" s="21" t="inlineStr">
        <is>
          <t>1_A008</t>
        </is>
      </c>
      <c r="B19" s="21" t="inlineStr">
        <is>
          <t>Data Set Date</t>
        </is>
      </c>
      <c r="C19" s="43" t="inlineStr">
        <is>
          <t>Date</t>
        </is>
      </c>
      <c r="D19" s="26" t="inlineStr">
        <is>
          <t>DATE ⚠️</t>
        </is>
      </c>
      <c r="E19" s="26" t="inlineStr">
        <is>
          <t>PARSE_DATE → ISO</t>
        </is>
      </c>
      <c r="F19" s="21" t="inlineStr">
        <is>
          <t>ISO yyyy-mm-dd (แสดง dd/mm/yyyy)</t>
        </is>
      </c>
      <c r="G19" s="21" t="inlineStr">
        <is>
          <t>— → 2026-05-30</t>
        </is>
      </c>
      <c r="H19" s="21" t="inlineStr">
        <is>
          <t>ยืนยัน format จริงของไฟล์</t>
        </is>
      </c>
    </row>
    <row r="20">
      <c r="A20" s="21" t="inlineStr">
        <is>
          <t>1_A009</t>
        </is>
      </c>
      <c r="B20" s="21" t="inlineStr">
        <is>
          <t>Data Set Date</t>
        </is>
      </c>
      <c r="C20" s="43" t="inlineStr">
        <is>
          <t>Date</t>
        </is>
      </c>
      <c r="D20" s="26" t="inlineStr">
        <is>
          <t>TEXT : dd/mm/yyyy</t>
        </is>
      </c>
      <c r="E20" s="26" t="inlineStr">
        <is>
          <t>PARSE_DATE → ISO</t>
        </is>
      </c>
      <c r="F20" s="21" t="inlineStr">
        <is>
          <t>ISO yyyy-mm-dd (แสดง dd/mm/yyyy)</t>
        </is>
      </c>
      <c r="G20" s="21" t="inlineStr">
        <is>
          <t>"30/05/2026" → 2026-05-30</t>
        </is>
      </c>
      <c r="H20" s="21" t="inlineStr">
        <is>
          <t>live demo</t>
        </is>
      </c>
    </row>
    <row r="21">
      <c r="A21" s="21" t="inlineStr">
        <is>
          <t>2_D001</t>
        </is>
      </c>
      <c r="B21" s="21" t="inlineStr">
        <is>
          <t>RCV_INIT_PRINCIPAL</t>
        </is>
      </c>
      <c r="C21" s="44" t="inlineStr">
        <is>
          <t>Number</t>
        </is>
      </c>
      <c r="D21" s="26" t="inlineStr">
        <is>
          <t>NUMBER (อาจติดลบ)</t>
        </is>
      </c>
      <c r="E21" s="26" t="inlineStr">
        <is>
          <t>ABS</t>
        </is>
      </c>
      <c r="F21" s="21" t="inlineStr">
        <is>
          <t>ตัวเลข ≥ 0</t>
        </is>
      </c>
      <c r="G21" s="21" t="inlineStr">
        <is>
          <t>-1,000,000 → 1,000,000</t>
        </is>
      </c>
      <c r="H21" s="21" t="inlineStr">
        <is>
          <t>ตัด sign ก่อนเทียบ</t>
        </is>
      </c>
    </row>
    <row r="22">
      <c r="A22" s="21" t="inlineStr">
        <is>
          <t>1_A009</t>
        </is>
      </c>
      <c r="B22" s="21" t="inlineStr">
        <is>
          <t>Initial Buy Amount</t>
        </is>
      </c>
      <c r="C22" s="44" t="inlineStr">
        <is>
          <t>Number</t>
        </is>
      </c>
      <c r="D22" s="26" t="inlineStr">
        <is>
          <t>NUMBER (อาจติดลบ)</t>
        </is>
      </c>
      <c r="E22" s="26" t="inlineStr">
        <is>
          <t>ABS</t>
        </is>
      </c>
      <c r="F22" s="21" t="inlineStr">
        <is>
          <t>ตัวเลข ≥ 0</t>
        </is>
      </c>
      <c r="G22" s="21" t="inlineStr">
        <is>
          <t>-1,000,000 → 1,000,000</t>
        </is>
      </c>
      <c r="H22" s="21" t="inlineStr">
        <is>
          <t>ตัด sign ก่อนเทียบ</t>
        </is>
      </c>
    </row>
    <row r="23">
      <c r="A23" s="21" t="inlineStr">
        <is>
          <t>4_C001</t>
        </is>
      </c>
      <c r="B23" s="21" t="inlineStr">
        <is>
          <t>Amount</t>
        </is>
      </c>
      <c r="C23" s="44" t="inlineStr">
        <is>
          <t>Number</t>
        </is>
      </c>
      <c r="D23" s="26" t="inlineStr">
        <is>
          <t>NUMBER</t>
        </is>
      </c>
      <c r="E23" s="26" t="inlineStr">
        <is>
          <t>SIGN_BY("DR/CR", DR=+1, CR=-1)</t>
        </is>
      </c>
      <c r="F23" s="21" t="inlineStr">
        <is>
          <t>ตัวเลขมีเครื่องหมาย</t>
        </is>
      </c>
      <c r="G23" s="21" t="inlineStr">
        <is>
          <t>100 (CR) → -100</t>
        </is>
      </c>
      <c r="H23" s="21" t="inlineStr">
        <is>
          <t>sign มาจากคอลัมน์ DR/CR</t>
        </is>
      </c>
    </row>
    <row r="24">
      <c r="A24" s="21" t="inlineStr">
        <is>
          <t>2_D003</t>
        </is>
      </c>
      <c r="B24" s="21" t="inlineStr">
        <is>
          <t>Amount</t>
        </is>
      </c>
      <c r="C24" s="44" t="inlineStr">
        <is>
          <t>Number</t>
        </is>
      </c>
      <c r="D24" s="26" t="inlineStr">
        <is>
          <t>NUMBER</t>
        </is>
      </c>
      <c r="E24" s="26" t="inlineStr">
        <is>
          <t>SIGN_BY("Pay/Rcv", Rcv=+1, Pay=-1)</t>
        </is>
      </c>
      <c r="F24" s="21" t="inlineStr">
        <is>
          <t>ตัวเลขมีเครื่องหมาย</t>
        </is>
      </c>
      <c r="G24" s="21" t="inlineStr">
        <is>
          <t>100 (Pay) → -100</t>
        </is>
      </c>
      <c r="H24" s="21" t="inlineStr">
        <is>
          <t>sign มาจาก Pay/Rcv</t>
        </is>
      </c>
    </row>
    <row r="25">
      <c r="A25" s="21" t="inlineStr">
        <is>
          <t>1_A008</t>
        </is>
      </c>
      <c r="B25" s="21" t="inlineStr">
        <is>
          <t>Transaction Amount</t>
        </is>
      </c>
      <c r="C25" s="44" t="inlineStr">
        <is>
          <t>Number</t>
        </is>
      </c>
      <c r="D25" s="26" t="inlineStr">
        <is>
          <t>NUMBER</t>
        </is>
      </c>
      <c r="E25" s="26" t="inlineStr">
        <is>
          <t>SIGN_BY("Receive Payment Type")</t>
        </is>
      </c>
      <c r="F25" s="21" t="inlineStr">
        <is>
          <t>ตัวเลขมีเครื่องหมาย</t>
        </is>
      </c>
      <c r="G25" s="21" t="inlineStr">
        <is>
          <t>ตาม type</t>
        </is>
      </c>
      <c r="H25" s="21" t="inlineStr">
        <is>
          <t>ระบุ map ค่า type → sign</t>
        </is>
      </c>
    </row>
    <row r="26">
      <c r="A26" s="21" t="inlineStr">
        <is>
          <t>(any)</t>
        </is>
      </c>
      <c r="B26" s="21" t="inlineStr">
        <is>
          <t>Amount (paren)</t>
        </is>
      </c>
      <c r="C26" s="44" t="inlineStr">
        <is>
          <t>Number</t>
        </is>
      </c>
      <c r="D26" s="26" t="inlineStr">
        <is>
          <t>TEXT : (123)</t>
        </is>
      </c>
      <c r="E26" s="26" t="inlineStr">
        <is>
          <t>PAREN_NEG</t>
        </is>
      </c>
      <c r="F26" s="21" t="inlineStr">
        <is>
          <t>ตัวเลขมีเครื่องหมาย</t>
        </is>
      </c>
      <c r="G26" s="21" t="inlineStr">
        <is>
          <t>"(100)" → -100</t>
        </is>
      </c>
      <c r="H26" s="21" t="inlineStr">
        <is>
          <t>วงเล็บ = ค่าลบ</t>
        </is>
      </c>
    </row>
    <row r="27">
      <c r="A27" s="21" t="inlineStr">
        <is>
          <t>(any)</t>
        </is>
      </c>
      <c r="B27" s="21" t="inlineStr">
        <is>
          <t>Amount (str)</t>
        </is>
      </c>
      <c r="C27" s="44" t="inlineStr">
        <is>
          <t>Number</t>
        </is>
      </c>
      <c r="D27" s="26" t="inlineStr">
        <is>
          <t>TEXT : "1,000.00"</t>
        </is>
      </c>
      <c r="E27" s="26" t="inlineStr">
        <is>
          <t>STRIP(",$ ") + DEC(2)</t>
        </is>
      </c>
      <c r="F27" s="21" t="inlineStr">
        <is>
          <t>ตัวเลข</t>
        </is>
      </c>
      <c r="G27" s="21" t="inlineStr">
        <is>
          <t>"1,000.00" → 1000</t>
        </is>
      </c>
      <c r="H27" s="21" t="inlineStr">
        <is>
          <t>ตัดคั่นหลักพัน/สัญลักษณ์</t>
        </is>
      </c>
    </row>
    <row r="29" ht="26" customHeight="1">
      <c r="A29" s="27" t="inlineStr">
        <is>
          <t>Date Source Format tokens:  DATE | NUMBER:yyyymmdd | NUMBER:ddmmyyyy | TEXT:dd/mm/yyyy | TEXT:mm/dd/yyyy | TEXT:yyyy-mm-dd | TEXT:dd-mmm-yy | TEXT:dd-mmm-yyyy</t>
        </is>
      </c>
    </row>
    <row r="30" ht="30" customHeight="1">
      <c r="A30" s="27" t="inlineStr">
        <is>
          <t>Number Normalization tokens:  RAW | ABS | NEG | SIGN_BY("field",map) | PAREN_NEG | TRAIL_NEG | STRIP("chars") | DEC(n) | ROUND(n)        หมายเหตุ: yy → ปี (pivot 20yy ถ้า yy&lt;50) , mmm = ชื่อเดือนอังกฤษ (Jan..Dec)</t>
        </is>
      </c>
    </row>
  </sheetData>
  <mergeCells count="4">
    <mergeCell ref="A2:H2"/>
    <mergeCell ref="A29:H29"/>
    <mergeCell ref="A30:H3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5" customWidth="1" min="9" max="9"/>
    <col width="22" customWidth="1" min="10" max="10"/>
    <col width="17" customWidth="1" min="11" max="11"/>
    <col width="15" customWidth="1" min="12" max="12"/>
    <col width="22" customWidth="1" min="13" max="13"/>
  </cols>
  <sheetData>
    <row r="1" ht="26" customHeight="1">
      <c r="A1" s="1" t="inlineStr">
        <is>
          <t>MAP CONFIG  —  แผนผัง Reconcile (จาก 1_Flow_Map) + Key/Date ของ Source#1</t>
        </is>
      </c>
    </row>
    <row r="2" ht="34" customHeight="1">
      <c r="A2" s="2" t="inlineStr">
        <is>
          <t>สายการตรวจ Source#1→#4, Pattern, Key Mapping &amp; คอลัมน์วันที่ (จาก 3_DataSource)</t>
        </is>
      </c>
    </row>
    <row r="4" ht="30" customHeight="1">
      <c r="A4" s="19" t="inlineStr">
        <is>
          <t>Product</t>
        </is>
      </c>
      <c r="B4" s="19" t="inlineStr">
        <is>
          <t>Cat</t>
        </is>
      </c>
      <c r="C4" s="19" t="inlineStr">
        <is>
          <t>Set</t>
        </is>
      </c>
      <c r="D4" s="19" t="inlineStr">
        <is>
          <t>Source#1</t>
        </is>
      </c>
      <c r="E4" s="19" t="inlineStr">
        <is>
          <t>Source#2</t>
        </is>
      </c>
      <c r="F4" s="19" t="inlineStr">
        <is>
          <t>Source#3</t>
        </is>
      </c>
      <c r="G4" s="19" t="inlineStr">
        <is>
          <t>Source#4</t>
        </is>
      </c>
      <c r="H4" s="19" t="inlineStr">
        <is>
          <t>Trans.Map</t>
        </is>
      </c>
      <c r="I4" s="19" t="inlineStr">
        <is>
          <t>Pattern</t>
        </is>
      </c>
      <c r="J4" s="19" t="inlineStr">
        <is>
          <t>Key (S#1)</t>
        </is>
      </c>
      <c r="K4" s="19" t="inlineStr">
        <is>
          <t>Date Filter (S#1)</t>
        </is>
      </c>
      <c r="L4" s="19" t="inlineStr">
        <is>
          <t>Database</t>
        </is>
      </c>
      <c r="M4" s="19" t="inlineStr">
        <is>
          <t>A1_System / Output</t>
        </is>
      </c>
    </row>
    <row r="5">
      <c r="A5" s="24" t="inlineStr">
        <is>
          <t>D</t>
        </is>
      </c>
      <c r="B5" s="20" t="inlineStr">
        <is>
          <t>D1</t>
        </is>
      </c>
      <c r="C5" s="20" t="n">
        <v>1</v>
      </c>
      <c r="D5" s="21" t="inlineStr">
        <is>
          <t>2_D001</t>
        </is>
      </c>
      <c r="E5" s="21" t="inlineStr">
        <is>
          <t>1_A009</t>
        </is>
      </c>
      <c r="F5" s="21" t="inlineStr">
        <is>
          <t>1_B009</t>
        </is>
      </c>
      <c r="G5" s="21" t="inlineStr"/>
      <c r="H5" s="20" t="inlineStr">
        <is>
          <t>1 : 1 : n</t>
        </is>
      </c>
      <c r="I5" s="20" t="inlineStr">
        <is>
          <t>2 Direct+Cond</t>
        </is>
      </c>
      <c r="J5" s="21" t="inlineStr">
        <is>
          <t>TRADE_REF</t>
        </is>
      </c>
      <c r="K5" s="21" t="inlineStr">
        <is>
          <t>TRADE_DATE</t>
        </is>
      </c>
      <c r="L5" s="21" t="inlineStr">
        <is>
          <t>2_D001</t>
        </is>
      </c>
      <c r="M5" s="21" t="inlineStr">
        <is>
          <t>1_A009, 1_B009</t>
        </is>
      </c>
    </row>
    <row r="6">
      <c r="A6" s="24" t="inlineStr">
        <is>
          <t>D</t>
        </is>
      </c>
      <c r="B6" s="20" t="inlineStr">
        <is>
          <t>D1</t>
        </is>
      </c>
      <c r="C6" s="20" t="n">
        <v>2</v>
      </c>
      <c r="D6" s="21" t="inlineStr">
        <is>
          <t>2_D001</t>
        </is>
      </c>
      <c r="E6" s="21" t="inlineStr">
        <is>
          <t>1_A005</t>
        </is>
      </c>
      <c r="F6" s="21" t="inlineStr">
        <is>
          <t>1_B002</t>
        </is>
      </c>
      <c r="G6" s="21" t="inlineStr"/>
      <c r="H6" s="20" t="inlineStr">
        <is>
          <t>1 : 1 : n</t>
        </is>
      </c>
      <c r="I6" s="20" t="inlineStr">
        <is>
          <t>1 Direct</t>
        </is>
      </c>
      <c r="J6" s="21" t="inlineStr">
        <is>
          <t>TRADE_REF</t>
        </is>
      </c>
      <c r="K6" s="21" t="inlineStr">
        <is>
          <t>TRADE_DATE</t>
        </is>
      </c>
      <c r="L6" s="21" t="inlineStr">
        <is>
          <t>2_D001</t>
        </is>
      </c>
      <c r="M6" s="21" t="inlineStr">
        <is>
          <t>1_A005, 1_B002</t>
        </is>
      </c>
    </row>
    <row r="7">
      <c r="A7" s="24" t="inlineStr">
        <is>
          <t>D</t>
        </is>
      </c>
      <c r="B7" s="20" t="inlineStr">
        <is>
          <t>D1</t>
        </is>
      </c>
      <c r="C7" s="20" t="n">
        <v>3</v>
      </c>
      <c r="D7" s="21" t="inlineStr">
        <is>
          <t>2_D001</t>
        </is>
      </c>
      <c r="E7" s="21" t="inlineStr">
        <is>
          <t>1_A001</t>
        </is>
      </c>
      <c r="F7" s="21" t="inlineStr">
        <is>
          <t>1_B003</t>
        </is>
      </c>
      <c r="G7" s="21" t="inlineStr"/>
      <c r="H7" s="20" t="inlineStr">
        <is>
          <t>1 : 1,2 : n</t>
        </is>
      </c>
      <c r="I7" s="20" t="inlineStr">
        <is>
          <t>2 Direct+Cond</t>
        </is>
      </c>
      <c r="J7" s="21" t="inlineStr">
        <is>
          <t>TRADE_REF</t>
        </is>
      </c>
      <c r="K7" s="21" t="inlineStr">
        <is>
          <t>TRADE_DATE</t>
        </is>
      </c>
      <c r="L7" s="21" t="inlineStr">
        <is>
          <t>2_D001</t>
        </is>
      </c>
      <c r="M7" s="21" t="inlineStr">
        <is>
          <t>1_A001, 1_B003</t>
        </is>
      </c>
    </row>
    <row r="8">
      <c r="A8" s="24" t="inlineStr">
        <is>
          <t>D</t>
        </is>
      </c>
      <c r="B8" s="20" t="inlineStr">
        <is>
          <t>D1</t>
        </is>
      </c>
      <c r="C8" s="20" t="n">
        <v>4</v>
      </c>
      <c r="D8" s="21" t="inlineStr">
        <is>
          <t>2_D001</t>
        </is>
      </c>
      <c r="E8" s="21" t="inlineStr">
        <is>
          <t>1_A002</t>
        </is>
      </c>
      <c r="F8" s="21" t="inlineStr">
        <is>
          <t>1_B004</t>
        </is>
      </c>
      <c r="G8" s="21" t="inlineStr"/>
      <c r="H8" s="20" t="inlineStr">
        <is>
          <t>1 : 1 : n</t>
        </is>
      </c>
      <c r="I8" s="20" t="inlineStr">
        <is>
          <t>1 Direct</t>
        </is>
      </c>
      <c r="J8" s="21" t="inlineStr">
        <is>
          <t>TRADE_REF</t>
        </is>
      </c>
      <c r="K8" s="21" t="inlineStr">
        <is>
          <t>TRADE_DATE</t>
        </is>
      </c>
      <c r="L8" s="21" t="inlineStr">
        <is>
          <t>2_D001</t>
        </is>
      </c>
      <c r="M8" s="21" t="inlineStr">
        <is>
          <t>1_A002, 1_B004</t>
        </is>
      </c>
    </row>
    <row r="9">
      <c r="A9" s="24" t="inlineStr">
        <is>
          <t>D</t>
        </is>
      </c>
      <c r="B9" s="20" t="inlineStr">
        <is>
          <t>D2</t>
        </is>
      </c>
      <c r="C9" s="20" t="n">
        <v>5</v>
      </c>
      <c r="D9" s="21" t="inlineStr">
        <is>
          <t>2_D002</t>
        </is>
      </c>
      <c r="E9" s="21" t="inlineStr">
        <is>
          <t>1_A003</t>
        </is>
      </c>
      <c r="F9" s="21" t="inlineStr">
        <is>
          <t>2_D001</t>
        </is>
      </c>
      <c r="G9" s="21" t="inlineStr">
        <is>
          <t>1_B006</t>
        </is>
      </c>
      <c r="H9" s="20" t="inlineStr">
        <is>
          <t>1 : 1 : 1 : n</t>
        </is>
      </c>
      <c r="I9" s="20" t="inlineStr">
        <is>
          <t>3 Map+Back-check</t>
        </is>
      </c>
      <c r="J9" s="21" t="inlineStr">
        <is>
          <t>FI Arrangement Number</t>
        </is>
      </c>
      <c r="K9" s="21" t="inlineStr">
        <is>
          <t>Data Set Date</t>
        </is>
      </c>
      <c r="L9" s="21" t="inlineStr">
        <is>
          <t>2_D002, 2_D001</t>
        </is>
      </c>
      <c r="M9" s="21" t="inlineStr">
        <is>
          <t>1_A003, 1_B006</t>
        </is>
      </c>
    </row>
    <row r="10">
      <c r="A10" s="24" t="inlineStr">
        <is>
          <t>D</t>
        </is>
      </c>
      <c r="B10" s="20" t="inlineStr">
        <is>
          <t>D3</t>
        </is>
      </c>
      <c r="C10" s="20" t="n">
        <v>6</v>
      </c>
      <c r="D10" s="21" t="inlineStr">
        <is>
          <t>2_D003</t>
        </is>
      </c>
      <c r="E10" s="21" t="inlineStr">
        <is>
          <t>1_A001</t>
        </is>
      </c>
      <c r="F10" s="21" t="inlineStr">
        <is>
          <t>1_B003</t>
        </is>
      </c>
      <c r="G10" s="21" t="inlineStr"/>
      <c r="H10" s="20" t="inlineStr">
        <is>
          <t>1 : 1 : n</t>
        </is>
      </c>
      <c r="I10" s="20" t="inlineStr">
        <is>
          <t>2 Direct+Cond</t>
        </is>
      </c>
      <c r="J10" s="21" t="inlineStr">
        <is>
          <t>Ref + CCY + Amount + CMF Code</t>
        </is>
      </c>
      <c r="K10" s="21" t="inlineStr">
        <is>
          <t>Date</t>
        </is>
      </c>
      <c r="L10" s="21" t="inlineStr">
        <is>
          <t>2_D003</t>
        </is>
      </c>
      <c r="M10" s="21" t="inlineStr">
        <is>
          <t>1_A001, 1_B003</t>
        </is>
      </c>
    </row>
    <row r="11">
      <c r="A11" s="24" t="inlineStr">
        <is>
          <t>D</t>
        </is>
      </c>
      <c r="B11" s="20" t="inlineStr">
        <is>
          <t>D3</t>
        </is>
      </c>
      <c r="C11" s="20" t="n">
        <v>7</v>
      </c>
      <c r="D11" s="21" t="inlineStr">
        <is>
          <t>2_D003</t>
        </is>
      </c>
      <c r="E11" s="21" t="inlineStr">
        <is>
          <t>1_A002</t>
        </is>
      </c>
      <c r="F11" s="21" t="inlineStr">
        <is>
          <t>1_B004</t>
        </is>
      </c>
      <c r="G11" s="21" t="inlineStr"/>
      <c r="H11" s="20" t="inlineStr">
        <is>
          <t>1 : 1 : n</t>
        </is>
      </c>
      <c r="I11" s="20" t="inlineStr">
        <is>
          <t>2 Direct+Cond</t>
        </is>
      </c>
      <c r="J11" s="21" t="inlineStr">
        <is>
          <t>Ref + CCY + Amount + CMF Code</t>
        </is>
      </c>
      <c r="K11" s="21" t="inlineStr">
        <is>
          <t>Date</t>
        </is>
      </c>
      <c r="L11" s="21" t="inlineStr">
        <is>
          <t>2_D003</t>
        </is>
      </c>
      <c r="M11" s="21" t="inlineStr">
        <is>
          <t>1_A002, 1_B004</t>
        </is>
      </c>
    </row>
    <row r="12">
      <c r="A12" s="24" t="inlineStr">
        <is>
          <t>D</t>
        </is>
      </c>
      <c r="B12" s="20" t="inlineStr">
        <is>
          <t>D3</t>
        </is>
      </c>
      <c r="C12" s="20" t="n">
        <v>8</v>
      </c>
      <c r="D12" s="21" t="inlineStr">
        <is>
          <t>2_D003</t>
        </is>
      </c>
      <c r="E12" s="21" t="inlineStr">
        <is>
          <t>1_A004</t>
        </is>
      </c>
      <c r="F12" s="21" t="inlineStr">
        <is>
          <t>1_B001</t>
        </is>
      </c>
      <c r="G12" s="21" t="inlineStr"/>
      <c r="H12" s="20" t="inlineStr">
        <is>
          <t>1 : 1 : n</t>
        </is>
      </c>
      <c r="I12" s="20" t="inlineStr">
        <is>
          <t>2 Direct+Cond</t>
        </is>
      </c>
      <c r="J12" s="21" t="inlineStr">
        <is>
          <t>Ref + CCY + Amount + CMF Code</t>
        </is>
      </c>
      <c r="K12" s="21" t="inlineStr">
        <is>
          <t>Date</t>
        </is>
      </c>
      <c r="L12" s="21" t="inlineStr">
        <is>
          <t>2_D003</t>
        </is>
      </c>
      <c r="M12" s="21" t="inlineStr">
        <is>
          <t>1_A004, 1_B001</t>
        </is>
      </c>
    </row>
    <row r="13">
      <c r="A13" s="24" t="inlineStr">
        <is>
          <t>D</t>
        </is>
      </c>
      <c r="B13" s="20" t="inlineStr">
        <is>
          <t>D3</t>
        </is>
      </c>
      <c r="C13" s="20" t="n">
        <v>9</v>
      </c>
      <c r="D13" s="21" t="inlineStr">
        <is>
          <t>2_D003</t>
        </is>
      </c>
      <c r="E13" s="21" t="inlineStr">
        <is>
          <t>1_A005</t>
        </is>
      </c>
      <c r="F13" s="21" t="inlineStr">
        <is>
          <t>1_B002</t>
        </is>
      </c>
      <c r="G13" s="21" t="inlineStr"/>
      <c r="H13" s="20" t="inlineStr">
        <is>
          <t>1 : 1 : n</t>
        </is>
      </c>
      <c r="I13" s="20" t="inlineStr">
        <is>
          <t>2 Direct+Cond</t>
        </is>
      </c>
      <c r="J13" s="21" t="inlineStr">
        <is>
          <t>Ref + CCY + Amount + CMF Code</t>
        </is>
      </c>
      <c r="K13" s="21" t="inlineStr">
        <is>
          <t>Date</t>
        </is>
      </c>
      <c r="L13" s="21" t="inlineStr">
        <is>
          <t>2_D003</t>
        </is>
      </c>
      <c r="M13" s="21" t="inlineStr">
        <is>
          <t>1_A005, 1_B002</t>
        </is>
      </c>
    </row>
    <row r="14">
      <c r="A14" s="24" t="inlineStr">
        <is>
          <t>D</t>
        </is>
      </c>
      <c r="B14" s="20" t="inlineStr">
        <is>
          <t>D3</t>
        </is>
      </c>
      <c r="C14" s="20" t="n">
        <v>10</v>
      </c>
      <c r="D14" s="21" t="inlineStr">
        <is>
          <t>2_D003</t>
        </is>
      </c>
      <c r="E14" s="21" t="inlineStr">
        <is>
          <t>1_A008</t>
        </is>
      </c>
      <c r="F14" s="21" t="inlineStr">
        <is>
          <t>1_B008</t>
        </is>
      </c>
      <c r="G14" s="21" t="inlineStr"/>
      <c r="H14" s="20" t="inlineStr">
        <is>
          <t>1 : 1 : n</t>
        </is>
      </c>
      <c r="I14" s="20" t="inlineStr">
        <is>
          <t>2 Direct+Cond</t>
        </is>
      </c>
      <c r="J14" s="21" t="inlineStr">
        <is>
          <t>Ref + CCY + Amount + CMF Code</t>
        </is>
      </c>
      <c r="K14" s="21" t="inlineStr">
        <is>
          <t>Date</t>
        </is>
      </c>
      <c r="L14" s="21" t="inlineStr">
        <is>
          <t>2_D003</t>
        </is>
      </c>
      <c r="M14" s="21" t="inlineStr">
        <is>
          <t>1_A008, 1_B008</t>
        </is>
      </c>
    </row>
    <row r="15">
      <c r="A15" s="24" t="inlineStr">
        <is>
          <t>D</t>
        </is>
      </c>
      <c r="B15" s="20" t="inlineStr">
        <is>
          <t>D3</t>
        </is>
      </c>
      <c r="C15" s="20" t="n">
        <v>11</v>
      </c>
      <c r="D15" s="21" t="inlineStr">
        <is>
          <t>2_D003</t>
        </is>
      </c>
      <c r="E15" s="21" t="inlineStr">
        <is>
          <t>1_A006</t>
        </is>
      </c>
      <c r="F15" s="21" t="inlineStr">
        <is>
          <t>1_B005</t>
        </is>
      </c>
      <c r="G15" s="21" t="inlineStr"/>
      <c r="H15" s="20" t="inlineStr">
        <is>
          <t>1 : n : n</t>
        </is>
      </c>
      <c r="I15" s="20" t="inlineStr">
        <is>
          <t>2 Direct+Cond</t>
        </is>
      </c>
      <c r="J15" s="21" t="inlineStr">
        <is>
          <t>Ref + CCY + Amount + CMF Code</t>
        </is>
      </c>
      <c r="K15" s="21" t="inlineStr">
        <is>
          <t>Date</t>
        </is>
      </c>
      <c r="L15" s="21" t="inlineStr">
        <is>
          <t>2_D003</t>
        </is>
      </c>
      <c r="M15" s="21" t="inlineStr">
        <is>
          <t>1_A006, 1_B005</t>
        </is>
      </c>
    </row>
    <row r="16">
      <c r="A16" s="24" t="inlineStr">
        <is>
          <t>D</t>
        </is>
      </c>
      <c r="B16" s="20" t="inlineStr">
        <is>
          <t>D3</t>
        </is>
      </c>
      <c r="C16" s="20" t="n">
        <v>12</v>
      </c>
      <c r="D16" s="21" t="inlineStr">
        <is>
          <t>2_D003</t>
        </is>
      </c>
      <c r="E16" s="21" t="inlineStr">
        <is>
          <t>2_D004</t>
        </is>
      </c>
      <c r="F16" s="21" t="inlineStr">
        <is>
          <t>2_D005</t>
        </is>
      </c>
      <c r="G16" s="21" t="inlineStr">
        <is>
          <t>1_A005</t>
        </is>
      </c>
      <c r="H16" s="20" t="inlineStr">
        <is>
          <t>n : 1 : 1 : ?</t>
        </is>
      </c>
      <c r="I16" s="20" t="inlineStr">
        <is>
          <t>3 Map+Back-check</t>
        </is>
      </c>
      <c r="J16" s="21" t="inlineStr">
        <is>
          <t>Ref + CCY + Amount + CMF Code</t>
        </is>
      </c>
      <c r="K16" s="21" t="inlineStr">
        <is>
          <t>Date</t>
        </is>
      </c>
      <c r="L16" s="21" t="inlineStr">
        <is>
          <t>2_D003, 2_D004, 2_D005</t>
        </is>
      </c>
      <c r="M16" s="21" t="inlineStr">
        <is>
          <t>1_A005</t>
        </is>
      </c>
    </row>
    <row r="17">
      <c r="A17" s="24" t="inlineStr">
        <is>
          <t>O</t>
        </is>
      </c>
      <c r="B17" s="20" t="inlineStr">
        <is>
          <t>O1</t>
        </is>
      </c>
      <c r="C17" s="20" t="n">
        <v>1</v>
      </c>
      <c r="D17" s="21" t="inlineStr">
        <is>
          <t>3_O001</t>
        </is>
      </c>
      <c r="E17" s="21" t="inlineStr">
        <is>
          <t>1_A007</t>
        </is>
      </c>
      <c r="F17" s="21" t="inlineStr">
        <is>
          <t>1_B007</t>
        </is>
      </c>
      <c r="G17" s="21" t="inlineStr"/>
      <c r="H17" s="20" t="inlineStr">
        <is>
          <t>1 : 1 : n</t>
        </is>
      </c>
      <c r="I17" s="20" t="inlineStr">
        <is>
          <t>1 Direct</t>
        </is>
      </c>
      <c r="J17" s="21" t="inlineStr">
        <is>
          <t>FI Arrangement Number</t>
        </is>
      </c>
      <c r="K17" s="21" t="inlineStr">
        <is>
          <t>Arrangement Contract Date</t>
        </is>
      </c>
      <c r="L17" s="21" t="inlineStr">
        <is>
          <t>3_O001</t>
        </is>
      </c>
      <c r="M17" s="21" t="inlineStr">
        <is>
          <t>1_A007, 1_B007</t>
        </is>
      </c>
    </row>
    <row r="18">
      <c r="A18" s="24" t="inlineStr">
        <is>
          <t>O</t>
        </is>
      </c>
      <c r="B18" s="20" t="inlineStr">
        <is>
          <t>O1</t>
        </is>
      </c>
      <c r="C18" s="20" t="n">
        <v>2</v>
      </c>
      <c r="D18" s="21" t="inlineStr">
        <is>
          <t>3_O001</t>
        </is>
      </c>
      <c r="E18" s="21" t="inlineStr">
        <is>
          <t>1_A005</t>
        </is>
      </c>
      <c r="F18" s="21" t="inlineStr">
        <is>
          <t>1_B002</t>
        </is>
      </c>
      <c r="G18" s="21" t="inlineStr"/>
      <c r="H18" s="20" t="inlineStr">
        <is>
          <t>1 : 1 : n</t>
        </is>
      </c>
      <c r="I18" s="20" t="inlineStr">
        <is>
          <t>1 Direct</t>
        </is>
      </c>
      <c r="J18" s="21" t="inlineStr">
        <is>
          <t>FI Arrangement Number</t>
        </is>
      </c>
      <c r="K18" s="21" t="inlineStr">
        <is>
          <t>Arrangement Contract Date</t>
        </is>
      </c>
      <c r="L18" s="21" t="inlineStr">
        <is>
          <t>3_O001</t>
        </is>
      </c>
      <c r="M18" s="21" t="inlineStr">
        <is>
          <t>1_A005, 1_B002</t>
        </is>
      </c>
    </row>
    <row r="19">
      <c r="A19" s="24" t="inlineStr">
        <is>
          <t>O</t>
        </is>
      </c>
      <c r="B19" s="20" t="inlineStr">
        <is>
          <t>O1</t>
        </is>
      </c>
      <c r="C19" s="20" t="n">
        <v>3</v>
      </c>
      <c r="D19" s="21" t="inlineStr">
        <is>
          <t>3_O001</t>
        </is>
      </c>
      <c r="E19" s="21" t="inlineStr">
        <is>
          <t>1_A001</t>
        </is>
      </c>
      <c r="F19" s="21" t="inlineStr">
        <is>
          <t>3_O003</t>
        </is>
      </c>
      <c r="G19" s="21" t="inlineStr">
        <is>
          <t>1_B003</t>
        </is>
      </c>
      <c r="H19" s="20" t="inlineStr">
        <is>
          <t>1 : 1 : 1 : n</t>
        </is>
      </c>
      <c r="I19" s="20" t="inlineStr">
        <is>
          <t>3 Map+Back-check</t>
        </is>
      </c>
      <c r="J19" s="21" t="inlineStr">
        <is>
          <t>FI Arrangement Number</t>
        </is>
      </c>
      <c r="K19" s="21" t="inlineStr">
        <is>
          <t>Arrangement Contract Date</t>
        </is>
      </c>
      <c r="L19" s="21" t="inlineStr">
        <is>
          <t>3_O001, 3_O003</t>
        </is>
      </c>
      <c r="M19" s="21" t="inlineStr">
        <is>
          <t>1_A001, 1_B003</t>
        </is>
      </c>
    </row>
    <row r="20">
      <c r="A20" s="24" t="inlineStr">
        <is>
          <t>O</t>
        </is>
      </c>
      <c r="B20" s="20" t="inlineStr">
        <is>
          <t>O1</t>
        </is>
      </c>
      <c r="C20" s="20" t="n">
        <v>4</v>
      </c>
      <c r="D20" s="21" t="inlineStr">
        <is>
          <t>3_O001</t>
        </is>
      </c>
      <c r="E20" s="21" t="inlineStr">
        <is>
          <t>1_A002</t>
        </is>
      </c>
      <c r="F20" s="21" t="inlineStr">
        <is>
          <t>1_B004</t>
        </is>
      </c>
      <c r="G20" s="21" t="inlineStr"/>
      <c r="H20" s="20" t="inlineStr">
        <is>
          <t>1 : 1 : n</t>
        </is>
      </c>
      <c r="I20" s="20" t="inlineStr">
        <is>
          <t>1 Direct</t>
        </is>
      </c>
      <c r="J20" s="21" t="inlineStr">
        <is>
          <t>FI Arrangement Number</t>
        </is>
      </c>
      <c r="K20" s="21" t="inlineStr">
        <is>
          <t>Arrangement Contract Date</t>
        </is>
      </c>
      <c r="L20" s="21" t="inlineStr">
        <is>
          <t>3_O001</t>
        </is>
      </c>
      <c r="M20" s="21" t="inlineStr">
        <is>
          <t>1_A002, 1_B004</t>
        </is>
      </c>
    </row>
    <row r="21">
      <c r="A21" s="24" t="inlineStr">
        <is>
          <t>O</t>
        </is>
      </c>
      <c r="B21" s="20" t="inlineStr">
        <is>
          <t>O2</t>
        </is>
      </c>
      <c r="C21" s="20" t="n">
        <v>5</v>
      </c>
      <c r="D21" s="21" t="inlineStr">
        <is>
          <t>3_O002</t>
        </is>
      </c>
      <c r="E21" s="21" t="inlineStr">
        <is>
          <t>1_A005</t>
        </is>
      </c>
      <c r="F21" s="21" t="inlineStr">
        <is>
          <t>1_B002</t>
        </is>
      </c>
      <c r="G21" s="21" t="inlineStr"/>
      <c r="H21" s="20" t="inlineStr">
        <is>
          <t>1 : 2 : n</t>
        </is>
      </c>
      <c r="I21" s="20" t="inlineStr">
        <is>
          <t>2 Direct+Cond</t>
        </is>
      </c>
      <c r="J21" s="21" t="inlineStr">
        <is>
          <t>OptionNum</t>
        </is>
      </c>
      <c r="K21" s="21" t="inlineStr">
        <is>
          <t>(none)</t>
        </is>
      </c>
      <c r="L21" s="21" t="inlineStr">
        <is>
          <t>3_O002</t>
        </is>
      </c>
      <c r="M21" s="21" t="inlineStr">
        <is>
          <t>1_A005, 1_B002</t>
        </is>
      </c>
    </row>
    <row r="22">
      <c r="A22" s="24" t="inlineStr">
        <is>
          <t>O</t>
        </is>
      </c>
      <c r="B22" s="20" t="inlineStr">
        <is>
          <t>O3</t>
        </is>
      </c>
      <c r="C22" s="20" t="n">
        <v>6</v>
      </c>
      <c r="D22" s="21" t="inlineStr">
        <is>
          <t>3_O003</t>
        </is>
      </c>
      <c r="E22" s="21" t="inlineStr">
        <is>
          <t>1_A008</t>
        </is>
      </c>
      <c r="F22" s="21" t="inlineStr">
        <is>
          <t>1_B008</t>
        </is>
      </c>
      <c r="G22" s="21" t="inlineStr"/>
      <c r="H22" s="20" t="inlineStr">
        <is>
          <t>1 : 1 : n</t>
        </is>
      </c>
      <c r="I22" s="20" t="inlineStr">
        <is>
          <t>1 Direct</t>
        </is>
      </c>
      <c r="J22" s="21" t="inlineStr">
        <is>
          <t>CompositeOptSeqNum</t>
        </is>
      </c>
      <c r="K22" s="21" t="inlineStr">
        <is>
          <t>Date</t>
        </is>
      </c>
      <c r="L22" s="21" t="inlineStr">
        <is>
          <t>3_O003</t>
        </is>
      </c>
      <c r="M22" s="21" t="inlineStr">
        <is>
          <t>1_A008, 1_B008</t>
        </is>
      </c>
    </row>
    <row r="23">
      <c r="A23" s="24" t="inlineStr">
        <is>
          <t>C</t>
        </is>
      </c>
      <c r="B23" s="20" t="inlineStr">
        <is>
          <t>C1</t>
        </is>
      </c>
      <c r="C23" s="20" t="n">
        <v>1</v>
      </c>
      <c r="D23" s="21" t="inlineStr">
        <is>
          <t>1_A008</t>
        </is>
      </c>
      <c r="E23" s="21" t="inlineStr">
        <is>
          <t>4_C001</t>
        </is>
      </c>
      <c r="F23" s="21" t="inlineStr"/>
      <c r="G23" s="21" t="inlineStr"/>
      <c r="H23" s="20" t="inlineStr">
        <is>
          <t>1 : 2</t>
        </is>
      </c>
      <c r="I23" s="20" t="inlineStr">
        <is>
          <t>2 Direct+Cond</t>
        </is>
      </c>
      <c r="J23" s="21" t="inlineStr">
        <is>
          <t>Reference Transaction Number</t>
        </is>
      </c>
      <c r="K23" s="21" t="inlineStr">
        <is>
          <t>Data Set Date</t>
        </is>
      </c>
      <c r="L23" s="21" t="inlineStr">
        <is>
          <t>4_C001</t>
        </is>
      </c>
      <c r="M23" s="21" t="inlineStr">
        <is>
          <t>1_A008</t>
        </is>
      </c>
    </row>
    <row r="24">
      <c r="A24" s="24" t="inlineStr">
        <is>
          <t>C</t>
        </is>
      </c>
      <c r="B24" s="20" t="inlineStr">
        <is>
          <t>C1</t>
        </is>
      </c>
      <c r="C24" s="20" t="n">
        <v>2</v>
      </c>
      <c r="D24" s="21" t="inlineStr">
        <is>
          <t>1_A008</t>
        </is>
      </c>
      <c r="E24" s="21" t="inlineStr">
        <is>
          <t>4_C002</t>
        </is>
      </c>
      <c r="F24" s="21" t="inlineStr">
        <is>
          <t>4_C003</t>
        </is>
      </c>
      <c r="G24" s="21" t="inlineStr"/>
      <c r="H24" s="20" t="inlineStr">
        <is>
          <t>1 : 1 : 1</t>
        </is>
      </c>
      <c r="I24" s="20" t="inlineStr">
        <is>
          <t>3 Map+Back-check</t>
        </is>
      </c>
      <c r="J24" s="21" t="inlineStr">
        <is>
          <t>Reference Transaction Number</t>
        </is>
      </c>
      <c r="K24" s="21" t="inlineStr">
        <is>
          <t>Data Set Date</t>
        </is>
      </c>
      <c r="L24" s="21" t="inlineStr">
        <is>
          <t>4_C002, 4_C003</t>
        </is>
      </c>
      <c r="M24" s="21" t="inlineStr">
        <is>
          <t>1_A008</t>
        </is>
      </c>
    </row>
    <row r="25">
      <c r="A25" s="24" t="inlineStr">
        <is>
          <t>C</t>
        </is>
      </c>
      <c r="B25" s="20" t="inlineStr">
        <is>
          <t>C1</t>
        </is>
      </c>
      <c r="C25" s="20" t="n">
        <v>3</v>
      </c>
      <c r="D25" s="21" t="inlineStr">
        <is>
          <t>1_A008</t>
        </is>
      </c>
      <c r="E25" s="21" t="inlineStr">
        <is>
          <t>1_B008</t>
        </is>
      </c>
      <c r="F25" s="21" t="inlineStr"/>
      <c r="G25" s="21" t="inlineStr"/>
      <c r="H25" s="20" t="inlineStr">
        <is>
          <t>1 : n</t>
        </is>
      </c>
      <c r="I25" s="20" t="inlineStr">
        <is>
          <t>1 Direct</t>
        </is>
      </c>
      <c r="J25" s="21" t="inlineStr">
        <is>
          <t>Reference Transaction Number</t>
        </is>
      </c>
      <c r="K25" s="21" t="inlineStr">
        <is>
          <t>Data Set Date</t>
        </is>
      </c>
      <c r="L25" s="21" t="inlineStr"/>
      <c r="M25" s="21" t="inlineStr">
        <is>
          <t>1_A008, 1_B008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0" customWidth="1" min="4" max="4"/>
    <col width="15" customWidth="1" min="5" max="5"/>
    <col width="26" customWidth="1" min="6" max="6"/>
  </cols>
  <sheetData>
    <row r="1" ht="26" customHeight="1">
      <c r="A1" s="1" t="inlineStr">
        <is>
          <t>SOURCE CONFIG  —  เฉพาะ Field ที่จำเป็นของแต่ละไฟล์ (จาก 3_DataSource, Flag=Y)</t>
        </is>
      </c>
    </row>
    <row r="2" ht="34" customHeight="1">
      <c r="A2" s="2" t="inlineStr">
        <is>
          <t>Date Filter (กรองวันที่) + Key Mapping (คีย์เชื่อม) + จำนวนคอลัมน์ Select | ไฟล์ 1_Bxxx = ไฟล์ผลลัพธ์ ERROR (key+message)</t>
        </is>
      </c>
    </row>
    <row r="4" ht="30" customHeight="1">
      <c r="A4" s="19" t="inlineStr">
        <is>
          <t>Group</t>
        </is>
      </c>
      <c r="B4" s="19" t="inlineStr">
        <is>
          <t>Source / File</t>
        </is>
      </c>
      <c r="C4" s="19" t="inlineStr">
        <is>
          <t>Date Filter Column</t>
        </is>
      </c>
      <c r="D4" s="19" t="inlineStr">
        <is>
          <t>Key Mapping Column(s)</t>
        </is>
      </c>
      <c r="E4" s="19" t="inlineStr">
        <is>
          <t># Cols Selected</t>
        </is>
      </c>
      <c r="F4" s="19" t="inlineStr">
        <is>
          <t>Role</t>
        </is>
      </c>
    </row>
    <row r="5">
      <c r="A5" s="21" t="inlineStr">
        <is>
          <t>Database D</t>
        </is>
      </c>
      <c r="B5" s="21" t="inlineStr">
        <is>
          <t>2_D001</t>
        </is>
      </c>
      <c r="C5" s="21" t="inlineStr">
        <is>
          <t>TRADE_DATE</t>
        </is>
      </c>
      <c r="D5" s="21" t="inlineStr">
        <is>
          <t>TRADE_REF</t>
        </is>
      </c>
      <c r="E5" s="20" t="n">
        <v>15</v>
      </c>
      <c r="F5" s="21" t="inlineStr">
        <is>
          <t>ฐานข้อมูล D</t>
        </is>
      </c>
    </row>
    <row r="6">
      <c r="A6" s="21" t="inlineStr">
        <is>
          <t>Database D</t>
        </is>
      </c>
      <c r="B6" s="21" t="inlineStr">
        <is>
          <t>2_D002</t>
        </is>
      </c>
      <c r="C6" s="21" t="inlineStr">
        <is>
          <t>Data Set Date</t>
        </is>
      </c>
      <c r="D6" s="21" t="inlineStr">
        <is>
          <t>FI Arrangement Number</t>
        </is>
      </c>
      <c r="E6" s="20" t="n">
        <v>52</v>
      </c>
      <c r="F6" s="21" t="inlineStr">
        <is>
          <t>ฐานข้อมูล D</t>
        </is>
      </c>
    </row>
    <row r="7">
      <c r="A7" s="21" t="inlineStr">
        <is>
          <t>Database D</t>
        </is>
      </c>
      <c r="B7" s="21" t="inlineStr">
        <is>
          <t>2_D003</t>
        </is>
      </c>
      <c r="C7" s="21" t="inlineStr">
        <is>
          <t>Date</t>
        </is>
      </c>
      <c r="D7" s="21" t="inlineStr">
        <is>
          <t>Ref + CCY + Amount + CMF Code</t>
        </is>
      </c>
      <c r="E7" s="20" t="n">
        <v>8</v>
      </c>
      <c r="F7" s="21" t="inlineStr">
        <is>
          <t>ฐานข้อมูล D</t>
        </is>
      </c>
    </row>
    <row r="8">
      <c r="A8" s="21" t="inlineStr">
        <is>
          <t>Database D</t>
        </is>
      </c>
      <c r="B8" s="21" t="inlineStr">
        <is>
          <t>2_D004</t>
        </is>
      </c>
      <c r="C8" s="21" t="inlineStr">
        <is>
          <t>(none)</t>
        </is>
      </c>
      <c r="D8" s="21" t="inlineStr">
        <is>
          <t>(none)</t>
        </is>
      </c>
      <c r="E8" s="20" t="n">
        <v>5</v>
      </c>
      <c r="F8" s="21" t="inlineStr">
        <is>
          <t>ฐานข้อมูล D</t>
        </is>
      </c>
    </row>
    <row r="9">
      <c r="A9" s="21" t="inlineStr">
        <is>
          <t>Database D</t>
        </is>
      </c>
      <c r="B9" s="21" t="inlineStr">
        <is>
          <t>2_D005</t>
        </is>
      </c>
      <c r="C9" s="21" t="inlineStr">
        <is>
          <t>(none)</t>
        </is>
      </c>
      <c r="D9" s="21" t="inlineStr">
        <is>
          <t>(none)</t>
        </is>
      </c>
      <c r="E9" s="20" t="n">
        <v>5</v>
      </c>
      <c r="F9" s="21" t="inlineStr">
        <is>
          <t>ฐานข้อมูล D</t>
        </is>
      </c>
    </row>
    <row r="10">
      <c r="A10" s="21" t="inlineStr">
        <is>
          <t>Database O</t>
        </is>
      </c>
      <c r="B10" s="21" t="inlineStr">
        <is>
          <t>3_O001</t>
        </is>
      </c>
      <c r="C10" s="21" t="inlineStr">
        <is>
          <t>Arrangement Contract Date</t>
        </is>
      </c>
      <c r="D10" s="21" t="inlineStr">
        <is>
          <t>FI Arrangement Number</t>
        </is>
      </c>
      <c r="E10" s="20" t="n">
        <v>15</v>
      </c>
      <c r="F10" s="21" t="inlineStr">
        <is>
          <t>ฐานข้อมูล O</t>
        </is>
      </c>
    </row>
    <row r="11">
      <c r="A11" s="21" t="inlineStr">
        <is>
          <t>Database O</t>
        </is>
      </c>
      <c r="B11" s="21" t="inlineStr">
        <is>
          <t>3_O002</t>
        </is>
      </c>
      <c r="C11" s="21" t="inlineStr">
        <is>
          <t>(none)</t>
        </is>
      </c>
      <c r="D11" s="21" t="inlineStr">
        <is>
          <t>OptionNum</t>
        </is>
      </c>
      <c r="E11" s="20" t="n">
        <v>13</v>
      </c>
      <c r="F11" s="21" t="inlineStr">
        <is>
          <t>ฐานข้อมูล O</t>
        </is>
      </c>
    </row>
    <row r="12">
      <c r="A12" s="21" t="inlineStr">
        <is>
          <t>Database O</t>
        </is>
      </c>
      <c r="B12" s="21" t="inlineStr">
        <is>
          <t>3_O003</t>
        </is>
      </c>
      <c r="C12" s="21" t="inlineStr">
        <is>
          <t>Date</t>
        </is>
      </c>
      <c r="D12" s="21" t="inlineStr">
        <is>
          <t>CompositeOptSeqNum</t>
        </is>
      </c>
      <c r="E12" s="20" t="n">
        <v>6</v>
      </c>
      <c r="F12" s="21" t="inlineStr">
        <is>
          <t>ฐานข้อมูล O</t>
        </is>
      </c>
    </row>
    <row r="13">
      <c r="A13" s="21" t="inlineStr">
        <is>
          <t>Database C</t>
        </is>
      </c>
      <c r="B13" s="21" t="inlineStr">
        <is>
          <t>4_C001</t>
        </is>
      </c>
      <c r="C13" s="21" t="inlineStr">
        <is>
          <t>(none)</t>
        </is>
      </c>
      <c r="D13" s="21" t="inlineStr">
        <is>
          <t>Transaction No + DR/CR</t>
        </is>
      </c>
      <c r="E13" s="20" t="n">
        <v>0</v>
      </c>
      <c r="F13" s="21" t="inlineStr">
        <is>
          <t>ฐานข้อมูล C</t>
        </is>
      </c>
    </row>
    <row r="14">
      <c r="A14" s="21" t="inlineStr">
        <is>
          <t>Database C</t>
        </is>
      </c>
      <c r="B14" s="21" t="inlineStr">
        <is>
          <t>4_C002</t>
        </is>
      </c>
      <c r="C14" s="21" t="inlineStr">
        <is>
          <t>Settlement Date</t>
        </is>
      </c>
      <c r="D14" s="21" t="inlineStr">
        <is>
          <t>Ccy + Notional</t>
        </is>
      </c>
      <c r="E14" s="20" t="n">
        <v>2</v>
      </c>
      <c r="F14" s="21" t="inlineStr">
        <is>
          <t>ฐานข้อมูล C</t>
        </is>
      </c>
    </row>
    <row r="15">
      <c r="A15" s="21" t="inlineStr">
        <is>
          <t>Database C</t>
        </is>
      </c>
      <c r="B15" s="21" t="inlineStr">
        <is>
          <t>4_C003</t>
        </is>
      </c>
      <c r="C15" s="21" t="inlineStr">
        <is>
          <t>Settlement Date</t>
        </is>
      </c>
      <c r="D15" s="21" t="inlineStr">
        <is>
          <t>Currency + Accrued Int</t>
        </is>
      </c>
      <c r="E15" s="20" t="n">
        <v>2</v>
      </c>
      <c r="F15" s="21" t="inlineStr">
        <is>
          <t>ฐานข้อมูล C</t>
        </is>
      </c>
    </row>
    <row r="16">
      <c r="A16" s="21" t="inlineStr">
        <is>
          <t>A1_System (main)</t>
        </is>
      </c>
      <c r="B16" s="21" t="inlineStr">
        <is>
          <t>1_A001</t>
        </is>
      </c>
      <c r="C16" s="21" t="inlineStr">
        <is>
          <t>Data Set Date</t>
        </is>
      </c>
      <c r="D16" s="21" t="inlineStr">
        <is>
          <t>FI Arrangement Number</t>
        </is>
      </c>
      <c r="E16" s="20" t="n">
        <v>9</v>
      </c>
      <c r="F16" s="21" t="inlineStr">
        <is>
          <t>ระบบที่ตรวจ (เกิน/ขาด)</t>
        </is>
      </c>
    </row>
    <row r="17">
      <c r="A17" s="21" t="inlineStr">
        <is>
          <t>A1_System (main)</t>
        </is>
      </c>
      <c r="B17" s="21" t="inlineStr">
        <is>
          <t>1_A002</t>
        </is>
      </c>
      <c r="C17" s="21" t="inlineStr">
        <is>
          <t>Data Set Date</t>
        </is>
      </c>
      <c r="D17" s="21" t="inlineStr">
        <is>
          <t>Arrangement Number</t>
        </is>
      </c>
      <c r="E17" s="20" t="n">
        <v>6</v>
      </c>
      <c r="F17" s="21" t="inlineStr">
        <is>
          <t>ระบบที่ตรวจ (เกิน/ขาด)</t>
        </is>
      </c>
    </row>
    <row r="18">
      <c r="A18" s="21" t="inlineStr">
        <is>
          <t>A1_System (main)</t>
        </is>
      </c>
      <c r="B18" s="21" t="inlineStr">
        <is>
          <t>1_A003</t>
        </is>
      </c>
      <c r="C18" s="21" t="inlineStr">
        <is>
          <t>Data Set Date</t>
        </is>
      </c>
      <c r="D18" s="21" t="inlineStr">
        <is>
          <t>FI Arrangement Number</t>
        </is>
      </c>
      <c r="E18" s="20" t="n">
        <v>52</v>
      </c>
      <c r="F18" s="21" t="inlineStr">
        <is>
          <t>ระบบที่ตรวจ (เกิน/ขาด)</t>
        </is>
      </c>
    </row>
    <row r="19">
      <c r="A19" s="21" t="inlineStr">
        <is>
          <t>A1_System (main)</t>
        </is>
      </c>
      <c r="B19" s="21" t="inlineStr">
        <is>
          <t>1_A004</t>
        </is>
      </c>
      <c r="C19" s="21" t="inlineStr">
        <is>
          <t>Data Set Date</t>
        </is>
      </c>
      <c r="D19" s="21" t="inlineStr">
        <is>
          <t>Arr Number</t>
        </is>
      </c>
      <c r="E19" s="20" t="n">
        <v>6</v>
      </c>
      <c r="F19" s="21" t="inlineStr">
        <is>
          <t>ระบบที่ตรวจ (เกิน/ขาด)</t>
        </is>
      </c>
    </row>
    <row r="20">
      <c r="A20" s="21" t="inlineStr">
        <is>
          <t>A1_System (main)</t>
        </is>
      </c>
      <c r="B20" s="21" t="inlineStr">
        <is>
          <t>1_A005</t>
        </is>
      </c>
      <c r="C20" s="21" t="inlineStr">
        <is>
          <t>Data Set Date</t>
        </is>
      </c>
      <c r="D20" s="21" t="inlineStr">
        <is>
          <t>FI Arrangement Number</t>
        </is>
      </c>
      <c r="E20" s="20" t="n">
        <v>9</v>
      </c>
      <c r="F20" s="21" t="inlineStr">
        <is>
          <t>ระบบที่ตรวจ (เกิน/ขาด)</t>
        </is>
      </c>
    </row>
    <row r="21">
      <c r="A21" s="21" t="inlineStr">
        <is>
          <t>A1_System (main)</t>
        </is>
      </c>
      <c r="B21" s="21" t="inlineStr">
        <is>
          <t>1_A006</t>
        </is>
      </c>
      <c r="C21" s="21" t="inlineStr">
        <is>
          <t>Data Set Date</t>
        </is>
      </c>
      <c r="D21" s="21" t="inlineStr">
        <is>
          <t>FI Arrangement Number</t>
        </is>
      </c>
      <c r="E21" s="20" t="n">
        <v>5</v>
      </c>
      <c r="F21" s="21" t="inlineStr">
        <is>
          <t>ระบบที่ตรวจ (เกิน/ขาด)</t>
        </is>
      </c>
    </row>
    <row r="22">
      <c r="A22" s="21" t="inlineStr">
        <is>
          <t>A1_System (main)</t>
        </is>
      </c>
      <c r="B22" s="21" t="inlineStr">
        <is>
          <t>1_A007</t>
        </is>
      </c>
      <c r="C22" s="21" t="inlineStr">
        <is>
          <t>Data Set Date</t>
        </is>
      </c>
      <c r="D22" s="21" t="inlineStr">
        <is>
          <t>FI Arrangement Number</t>
        </is>
      </c>
      <c r="E22" s="20" t="n">
        <v>6</v>
      </c>
      <c r="F22" s="21" t="inlineStr">
        <is>
          <t>ระบบที่ตรวจ (เกิน/ขาด)</t>
        </is>
      </c>
    </row>
    <row r="23">
      <c r="A23" s="21" t="inlineStr">
        <is>
          <t>A1_System (main)</t>
        </is>
      </c>
      <c r="B23" s="21" t="inlineStr">
        <is>
          <t>1_A008</t>
        </is>
      </c>
      <c r="C23" s="21" t="inlineStr">
        <is>
          <t>Data Set Date</t>
        </is>
      </c>
      <c r="D23" s="21" t="inlineStr">
        <is>
          <t>Reference Transaction Number</t>
        </is>
      </c>
      <c r="E23" s="20" t="n">
        <v>6</v>
      </c>
      <c r="F23" s="21" t="inlineStr">
        <is>
          <t>ระบบที่ตรวจ (เกิน/ขาด)</t>
        </is>
      </c>
    </row>
    <row r="24">
      <c r="A24" s="21" t="inlineStr">
        <is>
          <t>A1_System (main)</t>
        </is>
      </c>
      <c r="B24" s="21" t="inlineStr">
        <is>
          <t>1_A009</t>
        </is>
      </c>
      <c r="C24" s="21" t="inlineStr">
        <is>
          <t>Data Set Date</t>
        </is>
      </c>
      <c r="D24" s="21" t="inlineStr">
        <is>
          <t>FI Arrangement Number + CMF CODE</t>
        </is>
      </c>
      <c r="E24" s="20" t="n">
        <v>12</v>
      </c>
      <c r="F24" s="21" t="inlineStr">
        <is>
          <t>ระบบที่ตรวจ (เกิน/ขาด)</t>
        </is>
      </c>
    </row>
    <row r="25">
      <c r="A25" s="21" t="inlineStr">
        <is>
          <t>A1_System (ERROR output)</t>
        </is>
      </c>
      <c r="B25" s="45" t="inlineStr">
        <is>
          <t>1_B001</t>
        </is>
      </c>
      <c r="C25" s="21" t="inlineStr">
        <is>
          <t>(none)</t>
        </is>
      </c>
      <c r="D25" s="21" t="inlineStr">
        <is>
          <t>Arrangement Number</t>
        </is>
      </c>
      <c r="E25" s="20" t="n">
        <v>2</v>
      </c>
      <c r="F25" s="21" t="inlineStr">
        <is>
          <t>ไฟล์ผลลัพธ์ ERROR</t>
        </is>
      </c>
    </row>
    <row r="26">
      <c r="A26" s="21" t="inlineStr">
        <is>
          <t>A1_System (ERROR output)</t>
        </is>
      </c>
      <c r="B26" s="45" t="inlineStr">
        <is>
          <t>1_B002</t>
        </is>
      </c>
      <c r="C26" s="21" t="inlineStr">
        <is>
          <t>(none)</t>
        </is>
      </c>
      <c r="D26" s="21" t="inlineStr">
        <is>
          <t>Fi Arrangement Number</t>
        </is>
      </c>
      <c r="E26" s="20" t="n">
        <v>2</v>
      </c>
      <c r="F26" s="21" t="inlineStr">
        <is>
          <t>ไฟล์ผลลัพธ์ ERROR</t>
        </is>
      </c>
    </row>
    <row r="27">
      <c r="A27" s="21" t="inlineStr">
        <is>
          <t>A1_System (ERROR output)</t>
        </is>
      </c>
      <c r="B27" s="45" t="inlineStr">
        <is>
          <t>1_B003</t>
        </is>
      </c>
      <c r="C27" s="21" t="inlineStr">
        <is>
          <t>(none)</t>
        </is>
      </c>
      <c r="D27" s="21" t="inlineStr">
        <is>
          <t>Fi Arrangement Number</t>
        </is>
      </c>
      <c r="E27" s="20" t="n">
        <v>2</v>
      </c>
      <c r="F27" s="21" t="inlineStr">
        <is>
          <t>ไฟล์ผลลัพธ์ ERROR</t>
        </is>
      </c>
    </row>
    <row r="28">
      <c r="A28" s="21" t="inlineStr">
        <is>
          <t>A1_System (ERROR output)</t>
        </is>
      </c>
      <c r="B28" s="45" t="inlineStr">
        <is>
          <t>1_B004</t>
        </is>
      </c>
      <c r="C28" s="21" t="inlineStr">
        <is>
          <t>(none)</t>
        </is>
      </c>
      <c r="D28" s="21" t="inlineStr">
        <is>
          <t>Arrangement Number</t>
        </is>
      </c>
      <c r="E28" s="20" t="n">
        <v>2</v>
      </c>
      <c r="F28" s="21" t="inlineStr">
        <is>
          <t>ไฟล์ผลลัพธ์ ERROR</t>
        </is>
      </c>
    </row>
    <row r="29">
      <c r="A29" s="21" t="inlineStr">
        <is>
          <t>A1_System (ERROR output)</t>
        </is>
      </c>
      <c r="B29" s="45" t="inlineStr">
        <is>
          <t>1_B005</t>
        </is>
      </c>
      <c r="C29" s="21" t="inlineStr">
        <is>
          <t>(none)</t>
        </is>
      </c>
      <c r="D29" s="21" t="inlineStr">
        <is>
          <t>Fi Arrangement Number</t>
        </is>
      </c>
      <c r="E29" s="20" t="n">
        <v>2</v>
      </c>
      <c r="F29" s="21" t="inlineStr">
        <is>
          <t>ไฟล์ผลลัพธ์ ERROR</t>
        </is>
      </c>
    </row>
    <row r="30">
      <c r="A30" s="21" t="inlineStr">
        <is>
          <t>A1_System (ERROR output)</t>
        </is>
      </c>
      <c r="B30" s="45" t="inlineStr">
        <is>
          <t>1_B006</t>
        </is>
      </c>
      <c r="C30" s="21" t="inlineStr">
        <is>
          <t>(none)</t>
        </is>
      </c>
      <c r="D30" s="21" t="inlineStr">
        <is>
          <t>Fi Arrangement Number</t>
        </is>
      </c>
      <c r="E30" s="20" t="n">
        <v>2</v>
      </c>
      <c r="F30" s="21" t="inlineStr">
        <is>
          <t>ไฟล์ผลลัพธ์ ERROR</t>
        </is>
      </c>
    </row>
    <row r="31">
      <c r="A31" s="21" t="inlineStr">
        <is>
          <t>A1_System (ERROR output)</t>
        </is>
      </c>
      <c r="B31" s="45" t="inlineStr">
        <is>
          <t>1_B007</t>
        </is>
      </c>
      <c r="C31" s="21" t="inlineStr">
        <is>
          <t>(none)</t>
        </is>
      </c>
      <c r="D31" s="21" t="inlineStr">
        <is>
          <t>Fi Arrangement Number</t>
        </is>
      </c>
      <c r="E31" s="20" t="n">
        <v>2</v>
      </c>
      <c r="F31" s="21" t="inlineStr">
        <is>
          <t>ไฟล์ผลลัพธ์ ERROR</t>
        </is>
      </c>
    </row>
    <row r="32">
      <c r="A32" s="21" t="inlineStr">
        <is>
          <t>A1_System (ERROR output)</t>
        </is>
      </c>
      <c r="B32" s="45" t="inlineStr">
        <is>
          <t>1_B008</t>
        </is>
      </c>
      <c r="C32" s="21" t="inlineStr">
        <is>
          <t>(none)</t>
        </is>
      </c>
      <c r="D32" s="21" t="inlineStr">
        <is>
          <t>Ref.No.</t>
        </is>
      </c>
      <c r="E32" s="20" t="n">
        <v>2</v>
      </c>
      <c r="F32" s="21" t="inlineStr">
        <is>
          <t>ไฟล์ผลลัพธ์ ERROR</t>
        </is>
      </c>
    </row>
    <row r="33">
      <c r="A33" s="21" t="inlineStr">
        <is>
          <t>A1_System (ERROR output)</t>
        </is>
      </c>
      <c r="B33" s="45" t="inlineStr">
        <is>
          <t>1_B009</t>
        </is>
      </c>
      <c r="C33" s="21" t="inlineStr">
        <is>
          <t>(none)</t>
        </is>
      </c>
      <c r="D33" s="21" t="inlineStr">
        <is>
          <t>Fi Arrangement Number</t>
        </is>
      </c>
      <c r="E33" s="20" t="n">
        <v>2</v>
      </c>
      <c r="F33" s="21" t="inlineStr">
        <is>
          <t>ไฟล์ผลลัพธ์ ERROR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2" customWidth="1" min="3" max="3"/>
    <col width="42" customWidth="1" min="4" max="4"/>
  </cols>
  <sheetData>
    <row r="1" ht="26" customHeight="1">
      <c r="A1" s="1" t="inlineStr">
        <is>
          <t>OPEN QUESTIONS  —  สิ่งที่ยืนยันแล้ว &amp; ที่ยังรอข้อมูล</t>
        </is>
      </c>
    </row>
    <row r="2" ht="34" customHeight="1">
      <c r="A2" s="2" t="inlineStr">
        <is>
          <t>ข้อ 1-4 = ยืนยันแล้วจาก feedback | ข้อ 5+ = ยังรอเพื่อทำ Production</t>
        </is>
      </c>
    </row>
    <row r="4" ht="30" customHeight="1">
      <c r="A4" s="19" t="inlineStr"/>
      <c r="B4" s="19" t="inlineStr">
        <is>
          <t>#</t>
        </is>
      </c>
      <c r="C4" s="19" t="inlineStr">
        <is>
          <t>ประเด็น</t>
        </is>
      </c>
      <c r="D4" s="19" t="inlineStr">
        <is>
          <t>สรุป / สถานะ</t>
        </is>
      </c>
    </row>
    <row r="5" ht="42" customHeight="1">
      <c r="B5" s="18" t="inlineStr">
        <is>
          <t>1</t>
        </is>
      </c>
      <c r="C5" s="17" t="inlineStr">
        <is>
          <t>Key mapping ข้ามไฟล์</t>
        </is>
      </c>
      <c r="D5" s="46" t="inlineStr">
        <is>
          <t>✓ คีย์ธุรกิจเดียวกัน + บาง Source ต้อง Prep ก่อน (เช่น KT…C123→C123) → ใช้ Key Prep DSL</t>
        </is>
      </c>
    </row>
    <row r="6" ht="42" customHeight="1">
      <c r="B6" s="18" t="inlineStr">
        <is>
          <t>2</t>
        </is>
      </c>
      <c r="C6" s="17" t="inlineStr">
        <is>
          <t>เทียบค่า</t>
        </is>
      </c>
      <c r="D6" s="46" t="inlineStr">
        <is>
          <t>✓ CCY+Amount+Date เป็นหลัก + บาง Set มีเงื่อนไขเพิ่ม (Product/Transaction type) → 3 Patterns</t>
        </is>
      </c>
    </row>
    <row r="7" ht="42" customHeight="1">
      <c r="B7" s="18" t="inlineStr">
        <is>
          <t>3</t>
        </is>
      </c>
      <c r="C7" s="17" t="inlineStr">
        <is>
          <t>Cardinality 'n'</t>
        </is>
      </c>
      <c r="D7" s="46" t="inlineStr">
        <is>
          <t>✓ จับคู่ด้วย Match Key (ไม่รวมยอด); key มีหลายแบบ Ref / Ref+CCY+Amount / Ref+Type+CCY+Amount</t>
        </is>
      </c>
    </row>
    <row r="8" ht="42" customHeight="1">
      <c r="B8" s="18" t="inlineStr">
        <is>
          <t>4</t>
        </is>
      </c>
      <c r="C8" s="17" t="inlineStr">
        <is>
          <t>ขอบเขต</t>
        </is>
      </c>
      <c r="D8" s="46" t="inlineStr">
        <is>
          <t>✓ ครบ 21 Sets + รองรับ chain 3-4 ขั้น (Pattern 3 Map+Back-check)</t>
        </is>
      </c>
    </row>
    <row r="9" ht="42" customHeight="1">
      <c r="B9" s="18" t="inlineStr">
        <is>
          <t>5</t>
        </is>
      </c>
      <c r="C9" s="17" t="inlineStr">
        <is>
          <t>Pattern/Compare ต่อ Set</t>
        </is>
      </c>
      <c r="D9" s="47" t="inlineStr">
        <is>
          <t>⧖ ค่าใน Recon_Rules เป็น default โปรดยืนยัน/แก้ (โดยเฉพาะ Set ที่ตั้ง Pattern 2/3)</t>
        </is>
      </c>
    </row>
    <row r="10" ht="42" customHeight="1">
      <c r="B10" s="18" t="inlineStr">
        <is>
          <t>6</t>
        </is>
      </c>
      <c r="C10" s="17" t="inlineStr">
        <is>
          <t>Key Prep rule จริงต่อ Source</t>
        </is>
      </c>
      <c r="D10" s="47" t="inlineStr">
        <is>
          <t>⧖ ต้องการรูปแบบคีย์ดิบจริงของแต่ละไฟล์ (โดยเฉพาะที่ต้อง Prep) เพื่อเขียน DSL ให้ตรง</t>
        </is>
      </c>
    </row>
    <row r="11" ht="42" customHeight="1">
      <c r="B11" s="18" t="inlineStr">
        <is>
          <t>7</t>
        </is>
      </c>
      <c r="C11" s="17" t="inlineStr">
        <is>
          <t>Pattern 3 back-check</t>
        </is>
      </c>
      <c r="D11" s="47" t="inlineStr">
        <is>
          <t>⧖ ระบุว่าย้อนไปตรวจ field ใดที่ Main Source (เช่น D2-5→2_D001, O1-3→3_O003, C1-2→4_C003)</t>
        </is>
      </c>
    </row>
    <row r="12" ht="42" customHeight="1">
      <c r="B12" s="18" t="inlineStr">
        <is>
          <t>8</t>
        </is>
      </c>
      <c r="C12" s="17" t="inlineStr">
        <is>
          <t>Date/Number Format ต่างกัน</t>
        </is>
      </c>
      <c r="D12" s="46" t="inlineStr">
        <is>
          <t>✓ มีชีท Field_Format จัดการ Normalize (Date→ISO/dd/mm/yyyy, Number→ABS/SIGN_BY) — แต่ต้องยืนยัน format ดิบจริงต่อ field</t>
        </is>
      </c>
    </row>
    <row r="13" ht="42" customHeight="1">
      <c r="B13" s="18" t="inlineStr">
        <is>
          <t>9</t>
        </is>
      </c>
      <c r="C13" s="17" t="inlineStr">
        <is>
          <t>ข้อมูลตัวอย่างจริง</t>
        </is>
      </c>
      <c r="D13" s="47" t="inlineStr">
        <is>
          <t>⧖ ขอไฟล์จริง 1-2 ไฟล์ เพื่อ map คอลัมน์ + เขียน engine (Excel/Power Query/Python) ให้รันครบทุก Set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2026-06-08T10:57:10Z</dcterms:created>
  <dcterms:modified xsi:type="dcterms:W3CDTF">2026-06-08T10:57:10Z</dcterms:modified>
</cp:coreProperties>
</file>